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sales-data\"/>
    </mc:Choice>
  </mc:AlternateContent>
  <xr:revisionPtr revIDLastSave="0" documentId="13_ncr:1_{4DAD3AF3-C9CD-4D72-9494-7B59A60E97D9}" xr6:coauthVersionLast="47" xr6:coauthVersionMax="47" xr10:uidLastSave="{00000000-0000-0000-0000-000000000000}"/>
  <bookViews>
    <workbookView xWindow="-110" yWindow="-110" windowWidth="19420" windowHeight="10300" xr2:uid="{A1B87F6C-3D35-45B4-A8A0-582F2060C1A3}"/>
  </bookViews>
  <sheets>
    <sheet name="Sep" sheetId="1" r:id="rId1"/>
    <sheet name="Oct" sheetId="2" r:id="rId2"/>
  </sheets>
  <definedNames>
    <definedName name="_xlnm._FilterDatabase" localSheetId="0" hidden="1">Sep!$A$2:$C$34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I12" i="1"/>
  <c r="I11" i="1"/>
  <c r="I14" i="1" l="1"/>
  <c r="J14" i="1"/>
</calcChain>
</file>

<file path=xl/sharedStrings.xml><?xml version="1.0" encoding="utf-8"?>
<sst xmlns="http://schemas.openxmlformats.org/spreadsheetml/2006/main" count="91" uniqueCount="50">
  <si>
    <t>CHF</t>
  </si>
  <si>
    <t>EUR</t>
  </si>
  <si>
    <t>GBP</t>
  </si>
  <si>
    <t>SEK</t>
  </si>
  <si>
    <t>NOK</t>
  </si>
  <si>
    <t>DKK</t>
  </si>
  <si>
    <t>RUB</t>
  </si>
  <si>
    <t>JPY</t>
  </si>
  <si>
    <t>CAD</t>
  </si>
  <si>
    <t>AUD</t>
  </si>
  <si>
    <t>MXN</t>
  </si>
  <si>
    <t>BRL</t>
  </si>
  <si>
    <t>CNY</t>
  </si>
  <si>
    <t>SGD</t>
  </si>
  <si>
    <t>HKD</t>
  </si>
  <si>
    <t>MYR</t>
  </si>
  <si>
    <t>THB</t>
  </si>
  <si>
    <t>TWD</t>
  </si>
  <si>
    <t>KRW</t>
  </si>
  <si>
    <t>INR</t>
  </si>
  <si>
    <t>CZK</t>
  </si>
  <si>
    <t>PLN</t>
  </si>
  <si>
    <t>HUF</t>
  </si>
  <si>
    <t>UAH</t>
  </si>
  <si>
    <t>KZT</t>
  </si>
  <si>
    <t>TRY</t>
  </si>
  <si>
    <t>VND</t>
  </si>
  <si>
    <t>NZD</t>
  </si>
  <si>
    <t>AED</t>
  </si>
  <si>
    <t>PHP</t>
  </si>
  <si>
    <t>IDR</t>
  </si>
  <si>
    <t>QAR</t>
  </si>
  <si>
    <t xml:space="preserve"> September 2025</t>
  </si>
  <si>
    <t xml:space="preserve"> September 2024</t>
  </si>
  <si>
    <t>Currency</t>
  </si>
  <si>
    <t>2025 Rate</t>
  </si>
  <si>
    <t>2024 Rate</t>
  </si>
  <si>
    <t>Cross Rate 2025</t>
  </si>
  <si>
    <t>Cross Rate 2024</t>
  </si>
  <si>
    <t>Put the currency</t>
  </si>
  <si>
    <t>CN43</t>
  </si>
  <si>
    <t>CN46</t>
  </si>
  <si>
    <t>CN61</t>
  </si>
  <si>
    <t>CN90</t>
  </si>
  <si>
    <t>CN96</t>
  </si>
  <si>
    <t>CN92</t>
  </si>
  <si>
    <t>Currency from</t>
  </si>
  <si>
    <t>Currency to</t>
  </si>
  <si>
    <t xml:space="preserve"> October 2025</t>
  </si>
  <si>
    <t xml:space="preserve"> October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</si>
</sst>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)"/>
    <numFmt numFmtId="165" formatCode="0.000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rgb="FF0000FF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1" xfId="0" applyNumberFormat="1" applyFont="1" applyBorder="1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4" fontId="2" fillId="0" borderId="2" xfId="0" applyNumberFormat="1" applyFont="1" applyBorder="1" applyAlignment="1" applyProtection="1">
      <alignment horizontal="right"/>
      <protection locked="0"/>
    </xf>
    <xf numFmtId="164" fontId="3" fillId="0" borderId="2" xfId="0" applyNumberFormat="1" applyFont="1" applyBorder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righ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164" fontId="1" fillId="0" borderId="1" xfId="0" quotePrefix="1" applyNumberFormat="1" applyFont="1" applyBorder="1" applyAlignment="1" applyProtection="1">
      <alignment horizontal="left"/>
      <protection locked="0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7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3EFF-0ECE-46FC-9458-9A06712C3196}">
  <dimension ref="A1:M249"/>
  <sheetViews>
    <sheetView tabSelected="1" topLeftCell="A27" workbookViewId="0">
      <selection activeCell="F15" sqref="F15"/>
    </sheetView>
  </sheetViews>
  <sheetFormatPr defaultRowHeight="14.5" x14ac:dyDescent="0.35"/>
  <cols>
    <col min="1" max="1" width="10.26953125" bestFit="1" customWidth="1"/>
    <col min="2" max="3" width="17.08984375" bestFit="1" customWidth="1"/>
    <col min="7" max="8" width="20.54296875" bestFit="1" customWidth="1"/>
    <col min="9" max="12" width="14.08984375" bestFit="1" customWidth="1"/>
  </cols>
  <sheetData>
    <row r="1" spans="1:13" ht="15" thickBot="1" x14ac:dyDescent="0.4">
      <c r="A1" s="9"/>
    </row>
    <row r="2" spans="1:13" ht="15" thickBot="1" x14ac:dyDescent="0.4">
      <c r="A2" s="10" t="s">
        <v>34</v>
      </c>
      <c r="B2" s="14" t="s">
        <v>32</v>
      </c>
      <c r="C2" s="1" t="s">
        <v>33</v>
      </c>
    </row>
    <row r="3" spans="1:13" ht="16" thickBot="1" x14ac:dyDescent="0.4">
      <c r="A3" s="11" t="s">
        <v>0</v>
      </c>
      <c r="B3" s="2">
        <v>0.79724953124999998</v>
      </c>
      <c r="C3" s="3">
        <v>0.84750409677419347</v>
      </c>
    </row>
    <row r="4" spans="1:13" ht="16" thickBot="1" x14ac:dyDescent="0.4">
      <c r="A4" s="11" t="s">
        <v>1</v>
      </c>
      <c r="B4" s="2">
        <v>0.85286846874999978</v>
      </c>
      <c r="C4" s="3">
        <v>0.90093958064516144</v>
      </c>
      <c r="H4" s="15"/>
    </row>
    <row r="5" spans="1:13" ht="16" thickBot="1" x14ac:dyDescent="0.4">
      <c r="A5" s="11" t="s">
        <v>2</v>
      </c>
      <c r="B5" s="2">
        <v>0.74054831249999997</v>
      </c>
      <c r="C5" s="3">
        <v>0.75813574193548383</v>
      </c>
      <c r="H5" s="15"/>
    </row>
    <row r="6" spans="1:13" ht="16" thickBot="1" x14ac:dyDescent="0.4">
      <c r="A6" s="11" t="s">
        <v>3</v>
      </c>
      <c r="B6" s="2">
        <v>9.3870759374999988</v>
      </c>
      <c r="C6" s="3">
        <v>10.237109677419356</v>
      </c>
      <c r="H6" s="15"/>
    </row>
    <row r="7" spans="1:13" ht="16" thickBot="1" x14ac:dyDescent="0.4">
      <c r="A7" s="11" t="s">
        <v>4</v>
      </c>
      <c r="B7" s="2">
        <v>9.960920312499999</v>
      </c>
      <c r="C7" s="3">
        <v>10.610058064516128</v>
      </c>
      <c r="L7" t="s">
        <v>40</v>
      </c>
      <c r="M7" t="s">
        <v>12</v>
      </c>
    </row>
    <row r="8" spans="1:13" ht="16" thickBot="1" x14ac:dyDescent="0.4">
      <c r="A8" s="12" t="s">
        <v>5</v>
      </c>
      <c r="B8" s="2">
        <v>6.3661084375000003</v>
      </c>
      <c r="C8" s="3">
        <v>6.7212570967741918</v>
      </c>
      <c r="L8" t="s">
        <v>41</v>
      </c>
      <c r="M8" t="s">
        <v>12</v>
      </c>
    </row>
    <row r="9" spans="1:13" ht="16" thickBot="1" x14ac:dyDescent="0.4">
      <c r="A9" s="12" t="s">
        <v>6</v>
      </c>
      <c r="B9" s="2">
        <v>82.588428124999993</v>
      </c>
      <c r="C9" s="3">
        <v>91.074406451612887</v>
      </c>
      <c r="L9" t="s">
        <v>42</v>
      </c>
      <c r="M9" t="s">
        <v>14</v>
      </c>
    </row>
    <row r="10" spans="1:13" ht="16" thickBot="1" x14ac:dyDescent="0.4">
      <c r="A10" s="11" t="s">
        <v>7</v>
      </c>
      <c r="B10" s="2">
        <v>147.80512500000003</v>
      </c>
      <c r="C10" s="3">
        <v>143.42812903225803</v>
      </c>
      <c r="H10" t="s">
        <v>39</v>
      </c>
      <c r="I10" s="18" t="s">
        <v>35</v>
      </c>
      <c r="J10" s="18" t="s">
        <v>36</v>
      </c>
      <c r="L10" t="s">
        <v>43</v>
      </c>
      <c r="M10" t="s">
        <v>14</v>
      </c>
    </row>
    <row r="11" spans="1:13" ht="16" thickBot="1" x14ac:dyDescent="0.4">
      <c r="A11" s="11" t="s">
        <v>8</v>
      </c>
      <c r="B11" s="2">
        <v>1.3819346875</v>
      </c>
      <c r="C11" s="3">
        <v>1.3538264516129033</v>
      </c>
      <c r="G11" s="17" t="s">
        <v>46</v>
      </c>
      <c r="H11" s="19" t="s">
        <v>5</v>
      </c>
      <c r="I11" s="17">
        <f>IFERROR(VLOOKUP($H$11,$A$2:$C$34,2,0),"-")</f>
        <v>6.3661084375000003</v>
      </c>
      <c r="J11" s="17">
        <f>IFERROR(VLOOKUP($H$11,$A$2:$C$34,3,0),"-")</f>
        <v>6.7212570967741918</v>
      </c>
      <c r="L11" t="s">
        <v>45</v>
      </c>
      <c r="M11" t="s">
        <v>14</v>
      </c>
    </row>
    <row r="12" spans="1:13" ht="16" thickBot="1" x14ac:dyDescent="0.4">
      <c r="A12" s="13" t="s">
        <v>9</v>
      </c>
      <c r="B12" s="4">
        <v>1.5187412499999995</v>
      </c>
      <c r="C12" s="5">
        <v>1.4804277419354841</v>
      </c>
      <c r="G12" s="17" t="s">
        <v>47</v>
      </c>
      <c r="H12" s="19" t="s">
        <v>3</v>
      </c>
      <c r="I12" s="17">
        <f>IFERROR(VLOOKUP($H$12,$A$2:$C$34,2,0),"-")</f>
        <v>9.3870759374999988</v>
      </c>
      <c r="J12" s="17">
        <f>IFERROR(VLOOKUP($H$12,$A$2:$C$34,3,0),"-")</f>
        <v>10.237109677419356</v>
      </c>
      <c r="L12" t="s">
        <v>44</v>
      </c>
      <c r="M12" t="s">
        <v>14</v>
      </c>
    </row>
    <row r="13" spans="1:13" ht="16" thickBot="1" x14ac:dyDescent="0.4">
      <c r="A13" s="11" t="s">
        <v>10</v>
      </c>
      <c r="B13" s="6">
        <v>18.522796875000001</v>
      </c>
      <c r="C13" s="3">
        <v>19.603461290322581</v>
      </c>
      <c r="I13" s="17" t="s">
        <v>37</v>
      </c>
      <c r="J13" s="17" t="s">
        <v>38</v>
      </c>
    </row>
    <row r="14" spans="1:13" ht="16" thickBot="1" x14ac:dyDescent="0.4">
      <c r="A14" s="12" t="s">
        <v>11</v>
      </c>
      <c r="B14" s="6">
        <v>5.3768687500000008</v>
      </c>
      <c r="C14" s="3">
        <v>5.5613416129032274</v>
      </c>
      <c r="I14" s="20">
        <f>I12/I11</f>
        <v>1.4745391206666825</v>
      </c>
      <c r="J14" s="20">
        <f>J12/J11</f>
        <v>1.5230944940839366</v>
      </c>
    </row>
    <row r="15" spans="1:13" ht="16" thickBot="1" x14ac:dyDescent="0.4">
      <c r="A15" s="11" t="s">
        <v>12</v>
      </c>
      <c r="B15" s="6">
        <v>7.1267218750000003</v>
      </c>
      <c r="C15" s="3">
        <v>7.0878861290322561</v>
      </c>
    </row>
    <row r="16" spans="1:13" ht="16" thickBot="1" x14ac:dyDescent="0.4">
      <c r="A16" s="11" t="s">
        <v>13</v>
      </c>
      <c r="B16" s="6">
        <v>1.2846753124999999</v>
      </c>
      <c r="C16" s="3">
        <v>1.2989158064516126</v>
      </c>
      <c r="I16" s="16"/>
      <c r="J16" s="16"/>
    </row>
    <row r="17" spans="1:3" ht="16" thickBot="1" x14ac:dyDescent="0.4">
      <c r="A17" s="11" t="s">
        <v>14</v>
      </c>
      <c r="B17" s="6">
        <v>7.7861737500000023</v>
      </c>
      <c r="C17" s="3">
        <v>7.7947296774193555</v>
      </c>
    </row>
    <row r="18" spans="1:3" ht="16" thickBot="1" x14ac:dyDescent="0.4">
      <c r="A18" s="11" t="s">
        <v>15</v>
      </c>
      <c r="B18" s="6">
        <v>4.2144871874999996</v>
      </c>
      <c r="C18" s="3">
        <v>4.2891458064516126</v>
      </c>
    </row>
    <row r="19" spans="1:3" ht="16" thickBot="1" x14ac:dyDescent="0.4">
      <c r="A19" s="12" t="s">
        <v>16</v>
      </c>
      <c r="B19" s="6">
        <v>32.017078124999998</v>
      </c>
      <c r="C19" s="3">
        <v>33.522416129032258</v>
      </c>
    </row>
    <row r="20" spans="1:3" ht="16" thickBot="1" x14ac:dyDescent="0.4">
      <c r="A20" s="11" t="s">
        <v>17</v>
      </c>
      <c r="B20" s="6">
        <v>30.396881250000011</v>
      </c>
      <c r="C20" s="3">
        <v>31.996035483870973</v>
      </c>
    </row>
    <row r="21" spans="1:3" ht="16" thickBot="1" x14ac:dyDescent="0.4">
      <c r="A21" s="11" t="s">
        <v>18</v>
      </c>
      <c r="B21" s="6">
        <v>1392.6378124999997</v>
      </c>
      <c r="C21" s="3">
        <v>1333.6009677419354</v>
      </c>
    </row>
    <row r="22" spans="1:3" ht="16" thickBot="1" x14ac:dyDescent="0.4">
      <c r="A22" s="13" t="s">
        <v>19</v>
      </c>
      <c r="B22" s="4">
        <v>88.229762500000007</v>
      </c>
      <c r="C22" s="5">
        <v>83.828551612903226</v>
      </c>
    </row>
    <row r="23" spans="1:3" ht="16" thickBot="1" x14ac:dyDescent="0.4">
      <c r="A23" s="11" t="s">
        <v>20</v>
      </c>
      <c r="B23" s="6">
        <v>20.774934375000004</v>
      </c>
      <c r="C23" s="3">
        <v>22.593364516129032</v>
      </c>
    </row>
    <row r="24" spans="1:3" ht="16" thickBot="1" x14ac:dyDescent="0.4">
      <c r="A24" s="11" t="s">
        <v>21</v>
      </c>
      <c r="B24" s="6">
        <v>3.6320253125000002</v>
      </c>
      <c r="C24" s="3">
        <v>3.8543667741935477</v>
      </c>
    </row>
    <row r="25" spans="1:3" ht="16" thickBot="1" x14ac:dyDescent="0.4">
      <c r="A25" s="11" t="s">
        <v>22</v>
      </c>
      <c r="B25" s="6">
        <v>334.55834375000006</v>
      </c>
      <c r="C25" s="3">
        <v>355.11054838709663</v>
      </c>
    </row>
    <row r="26" spans="1:3" ht="16" thickBot="1" x14ac:dyDescent="0.4">
      <c r="A26" s="11" t="s">
        <v>23</v>
      </c>
      <c r="B26" s="6">
        <v>41.323253125000008</v>
      </c>
      <c r="C26" s="3">
        <v>41.28385161290322</v>
      </c>
    </row>
    <row r="27" spans="1:3" ht="16" thickBot="1" x14ac:dyDescent="0.4">
      <c r="A27" s="11" t="s">
        <v>24</v>
      </c>
      <c r="B27" s="6">
        <v>540.20893750000005</v>
      </c>
      <c r="C27" s="3">
        <v>480.34387096774191</v>
      </c>
    </row>
    <row r="28" spans="1:3" ht="16" thickBot="1" x14ac:dyDescent="0.4">
      <c r="A28" s="11" t="s">
        <v>25</v>
      </c>
      <c r="B28" s="6">
        <v>41.303181250000009</v>
      </c>
      <c r="C28" s="3">
        <v>34.045729032258066</v>
      </c>
    </row>
    <row r="29" spans="1:3" ht="16" thickBot="1" x14ac:dyDescent="0.4">
      <c r="A29" s="11" t="s">
        <v>26</v>
      </c>
      <c r="B29" s="6">
        <v>26385.621875000012</v>
      </c>
      <c r="C29" s="3">
        <v>24683.858064516127</v>
      </c>
    </row>
    <row r="30" spans="1:3" ht="16" thickBot="1" x14ac:dyDescent="0.4">
      <c r="A30" s="11" t="s">
        <v>27</v>
      </c>
      <c r="B30" s="6">
        <v>1.6985562500000004</v>
      </c>
      <c r="C30" s="3">
        <v>1.6092870967741935</v>
      </c>
    </row>
    <row r="31" spans="1:3" ht="16" thickBot="1" x14ac:dyDescent="0.4">
      <c r="A31" s="11" t="s">
        <v>28</v>
      </c>
      <c r="B31" s="6">
        <v>3.672803749999999</v>
      </c>
      <c r="C31" s="3">
        <v>3.6729709677419344</v>
      </c>
    </row>
    <row r="32" spans="1:3" ht="16" thickBot="1" x14ac:dyDescent="0.4">
      <c r="A32" s="11" t="s">
        <v>29</v>
      </c>
      <c r="B32" s="6">
        <v>57.187659375000003</v>
      </c>
      <c r="C32" s="3">
        <v>56.071454838709691</v>
      </c>
    </row>
    <row r="33" spans="1:3" ht="16" thickBot="1" x14ac:dyDescent="0.4">
      <c r="A33" s="11" t="s">
        <v>30</v>
      </c>
      <c r="B33" s="2">
        <v>16501.662500000002</v>
      </c>
      <c r="C33" s="8">
        <v>15374.009677419359</v>
      </c>
    </row>
    <row r="34" spans="1:3" ht="15.5" x14ac:dyDescent="0.35">
      <c r="A34" s="13" t="s">
        <v>31</v>
      </c>
      <c r="B34" s="4">
        <v>3.6438106250000004</v>
      </c>
      <c r="C34" s="5">
        <v>3.6432090322580644</v>
      </c>
    </row>
    <row r="35" spans="1:3" x14ac:dyDescent="0.35">
      <c r="A35" s="7"/>
    </row>
    <row r="36" spans="1:3" x14ac:dyDescent="0.35">
      <c r="A36" s="7"/>
    </row>
    <row r="37" spans="1:3" x14ac:dyDescent="0.35">
      <c r="A37" s="7"/>
    </row>
    <row r="38" spans="1:3" x14ac:dyDescent="0.35">
      <c r="A38" s="7"/>
    </row>
    <row r="39" spans="1:3" x14ac:dyDescent="0.35">
      <c r="A39" s="7"/>
    </row>
    <row r="40" spans="1:3" x14ac:dyDescent="0.35">
      <c r="A40" s="7"/>
    </row>
    <row r="41" spans="1:3" x14ac:dyDescent="0.35">
      <c r="A41" s="7"/>
    </row>
    <row r="42" spans="1:3" x14ac:dyDescent="0.35">
      <c r="A42" s="7"/>
    </row>
    <row r="43" spans="1:3" x14ac:dyDescent="0.35">
      <c r="A43" s="7"/>
    </row>
    <row r="44" spans="1:3" x14ac:dyDescent="0.35">
      <c r="A44" s="7"/>
    </row>
    <row r="45" spans="1:3" x14ac:dyDescent="0.35">
      <c r="A45" s="7"/>
    </row>
    <row r="46" spans="1:3" x14ac:dyDescent="0.35">
      <c r="A46" s="7"/>
    </row>
    <row r="47" spans="1:3" x14ac:dyDescent="0.35">
      <c r="A47" s="7"/>
    </row>
    <row r="48" spans="1:3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  <row r="91" spans="1:1" x14ac:dyDescent="0.35">
      <c r="A91" s="7"/>
    </row>
    <row r="92" spans="1:1" x14ac:dyDescent="0.35">
      <c r="A92" s="7"/>
    </row>
    <row r="93" spans="1:1" x14ac:dyDescent="0.35">
      <c r="A93" s="7"/>
    </row>
    <row r="94" spans="1:1" x14ac:dyDescent="0.35">
      <c r="A94" s="7"/>
    </row>
    <row r="95" spans="1:1" x14ac:dyDescent="0.35">
      <c r="A95" s="7"/>
    </row>
    <row r="96" spans="1:1" x14ac:dyDescent="0.35">
      <c r="A96" s="7"/>
    </row>
    <row r="97" spans="1:1" x14ac:dyDescent="0.35">
      <c r="A97" s="7"/>
    </row>
    <row r="98" spans="1:1" x14ac:dyDescent="0.35">
      <c r="A98" s="7"/>
    </row>
    <row r="99" spans="1:1" x14ac:dyDescent="0.35">
      <c r="A99" s="7"/>
    </row>
    <row r="100" spans="1:1" x14ac:dyDescent="0.35">
      <c r="A100" s="7"/>
    </row>
    <row r="101" spans="1:1" x14ac:dyDescent="0.35">
      <c r="A101" s="7"/>
    </row>
    <row r="102" spans="1:1" x14ac:dyDescent="0.35">
      <c r="A102" s="7"/>
    </row>
    <row r="103" spans="1:1" x14ac:dyDescent="0.35">
      <c r="A103" s="7"/>
    </row>
    <row r="104" spans="1:1" x14ac:dyDescent="0.35">
      <c r="A104" s="7"/>
    </row>
    <row r="105" spans="1:1" x14ac:dyDescent="0.35">
      <c r="A105" s="7"/>
    </row>
    <row r="106" spans="1:1" x14ac:dyDescent="0.35">
      <c r="A106" s="7"/>
    </row>
    <row r="107" spans="1:1" x14ac:dyDescent="0.35">
      <c r="A107" s="7"/>
    </row>
    <row r="108" spans="1:1" x14ac:dyDescent="0.35">
      <c r="A108" s="7"/>
    </row>
    <row r="109" spans="1:1" x14ac:dyDescent="0.35">
      <c r="A109" s="7"/>
    </row>
    <row r="110" spans="1:1" x14ac:dyDescent="0.35">
      <c r="A110" s="7"/>
    </row>
    <row r="111" spans="1:1" x14ac:dyDescent="0.35">
      <c r="A111" s="7"/>
    </row>
    <row r="112" spans="1:1" x14ac:dyDescent="0.35">
      <c r="A112" s="7"/>
    </row>
    <row r="113" spans="1:1" x14ac:dyDescent="0.35">
      <c r="A113" s="7"/>
    </row>
    <row r="114" spans="1:1" x14ac:dyDescent="0.35">
      <c r="A114" s="7"/>
    </row>
    <row r="115" spans="1:1" x14ac:dyDescent="0.35">
      <c r="A115" s="7"/>
    </row>
    <row r="116" spans="1:1" x14ac:dyDescent="0.35">
      <c r="A116" s="7"/>
    </row>
    <row r="117" spans="1:1" x14ac:dyDescent="0.35">
      <c r="A117" s="7"/>
    </row>
    <row r="118" spans="1:1" x14ac:dyDescent="0.35">
      <c r="A118" s="7"/>
    </row>
    <row r="119" spans="1:1" x14ac:dyDescent="0.35">
      <c r="A119" s="7"/>
    </row>
    <row r="120" spans="1:1" x14ac:dyDescent="0.35">
      <c r="A120" s="7"/>
    </row>
    <row r="121" spans="1:1" x14ac:dyDescent="0.35">
      <c r="A121" s="7"/>
    </row>
    <row r="122" spans="1:1" x14ac:dyDescent="0.35">
      <c r="A122" s="7"/>
    </row>
    <row r="123" spans="1:1" x14ac:dyDescent="0.35">
      <c r="A123" s="7"/>
    </row>
    <row r="124" spans="1:1" x14ac:dyDescent="0.35">
      <c r="A124" s="7"/>
    </row>
    <row r="125" spans="1:1" x14ac:dyDescent="0.35">
      <c r="A125" s="7"/>
    </row>
    <row r="126" spans="1:1" x14ac:dyDescent="0.35">
      <c r="A126" s="7"/>
    </row>
    <row r="127" spans="1:1" x14ac:dyDescent="0.35">
      <c r="A127" s="7"/>
    </row>
    <row r="128" spans="1:1" x14ac:dyDescent="0.35">
      <c r="A128" s="7"/>
    </row>
    <row r="129" spans="1:1" x14ac:dyDescent="0.35">
      <c r="A129" s="7"/>
    </row>
    <row r="130" spans="1:1" x14ac:dyDescent="0.35">
      <c r="A130" s="7"/>
    </row>
    <row r="131" spans="1:1" x14ac:dyDescent="0.35">
      <c r="A131" s="7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x14ac:dyDescent="0.35">
      <c r="A144" s="7"/>
    </row>
    <row r="145" spans="1:1" x14ac:dyDescent="0.35">
      <c r="A145" s="7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x14ac:dyDescent="0.35">
      <c r="A156" s="7"/>
    </row>
    <row r="157" spans="1:1" x14ac:dyDescent="0.35">
      <c r="A157" s="7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x14ac:dyDescent="0.35">
      <c r="A167" s="7"/>
    </row>
    <row r="168" spans="1:1" x14ac:dyDescent="0.35">
      <c r="A168" s="7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  <row r="177" spans="1:1" x14ac:dyDescent="0.35">
      <c r="A177" s="7"/>
    </row>
    <row r="178" spans="1:1" x14ac:dyDescent="0.35">
      <c r="A178" s="7"/>
    </row>
    <row r="179" spans="1:1" x14ac:dyDescent="0.35">
      <c r="A179" s="7"/>
    </row>
    <row r="180" spans="1:1" x14ac:dyDescent="0.35">
      <c r="A180" s="7"/>
    </row>
    <row r="181" spans="1:1" x14ac:dyDescent="0.35">
      <c r="A181" s="7"/>
    </row>
    <row r="182" spans="1:1" x14ac:dyDescent="0.35">
      <c r="A182" s="7"/>
    </row>
    <row r="183" spans="1:1" x14ac:dyDescent="0.35">
      <c r="A183" s="7"/>
    </row>
    <row r="184" spans="1:1" x14ac:dyDescent="0.35">
      <c r="A184" s="7"/>
    </row>
    <row r="185" spans="1:1" x14ac:dyDescent="0.35">
      <c r="A185" s="7"/>
    </row>
    <row r="186" spans="1:1" x14ac:dyDescent="0.35">
      <c r="A186" s="7"/>
    </row>
    <row r="187" spans="1:1" x14ac:dyDescent="0.35">
      <c r="A187" s="7"/>
    </row>
    <row r="188" spans="1:1" x14ac:dyDescent="0.35">
      <c r="A188" s="7"/>
    </row>
    <row r="189" spans="1:1" x14ac:dyDescent="0.35">
      <c r="A189" s="7"/>
    </row>
    <row r="190" spans="1:1" x14ac:dyDescent="0.35">
      <c r="A190" s="7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  <row r="205" spans="1:1" x14ac:dyDescent="0.35">
      <c r="A205" s="7"/>
    </row>
    <row r="206" spans="1:1" x14ac:dyDescent="0.35">
      <c r="A206" s="7"/>
    </row>
    <row r="207" spans="1:1" x14ac:dyDescent="0.35">
      <c r="A207" s="7"/>
    </row>
    <row r="208" spans="1:1" x14ac:dyDescent="0.35">
      <c r="A208" s="7"/>
    </row>
    <row r="209" spans="1:1" x14ac:dyDescent="0.35">
      <c r="A209" s="7"/>
    </row>
    <row r="210" spans="1:1" x14ac:dyDescent="0.35">
      <c r="A210" s="7"/>
    </row>
    <row r="211" spans="1:1" x14ac:dyDescent="0.35">
      <c r="A211" s="7"/>
    </row>
    <row r="212" spans="1:1" x14ac:dyDescent="0.35">
      <c r="A212" s="7"/>
    </row>
    <row r="213" spans="1:1" x14ac:dyDescent="0.35">
      <c r="A213" s="7"/>
    </row>
    <row r="214" spans="1:1" x14ac:dyDescent="0.35">
      <c r="A214" s="7"/>
    </row>
    <row r="215" spans="1:1" x14ac:dyDescent="0.35">
      <c r="A215" s="7"/>
    </row>
    <row r="216" spans="1:1" x14ac:dyDescent="0.35">
      <c r="A216" s="7"/>
    </row>
    <row r="217" spans="1:1" x14ac:dyDescent="0.35">
      <c r="A217" s="7"/>
    </row>
    <row r="218" spans="1:1" x14ac:dyDescent="0.35">
      <c r="A218" s="7"/>
    </row>
    <row r="219" spans="1:1" x14ac:dyDescent="0.35">
      <c r="A219" s="7"/>
    </row>
    <row r="220" spans="1:1" x14ac:dyDescent="0.35">
      <c r="A220" s="7"/>
    </row>
    <row r="221" spans="1:1" x14ac:dyDescent="0.35">
      <c r="A221" s="7"/>
    </row>
    <row r="222" spans="1:1" x14ac:dyDescent="0.35">
      <c r="A222" s="7"/>
    </row>
    <row r="223" spans="1:1" x14ac:dyDescent="0.35">
      <c r="A223" s="7"/>
    </row>
    <row r="224" spans="1:1" x14ac:dyDescent="0.35">
      <c r="A224" s="7"/>
    </row>
    <row r="225" spans="1:1" x14ac:dyDescent="0.35">
      <c r="A225" s="7"/>
    </row>
    <row r="226" spans="1:1" x14ac:dyDescent="0.35">
      <c r="A226" s="7"/>
    </row>
    <row r="227" spans="1:1" x14ac:dyDescent="0.35">
      <c r="A227" s="7"/>
    </row>
    <row r="228" spans="1:1" x14ac:dyDescent="0.35">
      <c r="A228" s="7"/>
    </row>
    <row r="229" spans="1:1" x14ac:dyDescent="0.35">
      <c r="A229" s="7"/>
    </row>
    <row r="230" spans="1:1" x14ac:dyDescent="0.35">
      <c r="A230" s="7"/>
    </row>
    <row r="231" spans="1:1" x14ac:dyDescent="0.35">
      <c r="A231" s="7"/>
    </row>
    <row r="232" spans="1:1" x14ac:dyDescent="0.35">
      <c r="A232" s="7"/>
    </row>
    <row r="233" spans="1:1" x14ac:dyDescent="0.35">
      <c r="A233" s="7"/>
    </row>
    <row r="234" spans="1:1" x14ac:dyDescent="0.35">
      <c r="A234" s="7"/>
    </row>
    <row r="235" spans="1:1" x14ac:dyDescent="0.35">
      <c r="A235" s="7"/>
    </row>
    <row r="236" spans="1:1" x14ac:dyDescent="0.35">
      <c r="A236" s="7"/>
    </row>
    <row r="237" spans="1:1" x14ac:dyDescent="0.35">
      <c r="A237" s="7"/>
    </row>
    <row r="238" spans="1:1" x14ac:dyDescent="0.35">
      <c r="A238" s="7"/>
    </row>
    <row r="239" spans="1:1" x14ac:dyDescent="0.35">
      <c r="A239" s="7"/>
    </row>
    <row r="240" spans="1:1" x14ac:dyDescent="0.35">
      <c r="A240" s="7"/>
    </row>
    <row r="241" spans="1:1" x14ac:dyDescent="0.35">
      <c r="A241" s="7"/>
    </row>
    <row r="242" spans="1:1" x14ac:dyDescent="0.35">
      <c r="A242" s="7"/>
    </row>
    <row r="243" spans="1:1" x14ac:dyDescent="0.35">
      <c r="A243" s="7"/>
    </row>
    <row r="244" spans="1:1" x14ac:dyDescent="0.35">
      <c r="A244" s="7"/>
    </row>
    <row r="245" spans="1:1" x14ac:dyDescent="0.35">
      <c r="A245" s="7"/>
    </row>
    <row r="246" spans="1:1" x14ac:dyDescent="0.35">
      <c r="A246" s="7"/>
    </row>
    <row r="247" spans="1:1" x14ac:dyDescent="0.35">
      <c r="A247" s="7"/>
    </row>
    <row r="248" spans="1:1" x14ac:dyDescent="0.35">
      <c r="A248" s="7"/>
    </row>
    <row r="249" spans="1:1" x14ac:dyDescent="0.35">
      <c r="A249" s="7"/>
    </row>
  </sheetData>
  <autoFilter ref="A2:C34" xr:uid="{1B783EFF-0ECE-46FC-9458-9A06712C3196}"/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8D9E-FD25-4027-91E0-50F02300702A}">
  <dimension ref="A1:C34"/>
  <sheetViews>
    <sheetView workbookViewId="0">
      <selection activeCell="G8" sqref="G8:M15"/>
    </sheetView>
  </sheetViews>
  <sheetFormatPr defaultRowHeight="14.5" x14ac:dyDescent="0.35"/>
  <cols>
    <col min="2" max="3" width="12.453125" bestFit="1" customWidth="1"/>
  </cols>
  <sheetData>
    <row r="1" spans="1:3" ht="15" thickBot="1" x14ac:dyDescent="0.4">
      <c r="A1" s="9"/>
    </row>
    <row r="2" spans="1:3" ht="15" thickBot="1" x14ac:dyDescent="0.4">
      <c r="A2" s="10" t="s">
        <v>34</v>
      </c>
      <c r="B2" s="14" t="s">
        <v>48</v>
      </c>
      <c r="C2" s="1" t="s">
        <v>49</v>
      </c>
    </row>
    <row r="3" spans="1:3" ht="16" thickBot="1" x14ac:dyDescent="0.4">
      <c r="A3" s="11" t="s">
        <v>0</v>
      </c>
      <c r="B3" s="2">
        <v>0.79700458064516122</v>
      </c>
      <c r="C3" s="3">
        <v>0.8585335151515151</v>
      </c>
    </row>
    <row r="4" spans="1:3" ht="16" thickBot="1" x14ac:dyDescent="0.4">
      <c r="A4" s="11" t="s">
        <v>1</v>
      </c>
      <c r="B4" s="2">
        <v>0.8579820645161288</v>
      </c>
      <c r="C4" s="3">
        <v>0.91464618181818191</v>
      </c>
    </row>
    <row r="5" spans="1:3" ht="16" thickBot="1" x14ac:dyDescent="0.4">
      <c r="A5" s="11" t="s">
        <v>2</v>
      </c>
      <c r="B5" s="2">
        <v>0.74712816129032256</v>
      </c>
      <c r="C5" s="3">
        <v>0.76354424242424257</v>
      </c>
    </row>
    <row r="6" spans="1:3" ht="16" thickBot="1" x14ac:dyDescent="0.4">
      <c r="A6" s="11" t="s">
        <v>3</v>
      </c>
      <c r="B6" s="2">
        <v>9.4277996774193529</v>
      </c>
      <c r="C6" s="3">
        <v>10.41237272727273</v>
      </c>
    </row>
    <row r="7" spans="1:3" ht="16" thickBot="1" x14ac:dyDescent="0.4">
      <c r="A7" s="11" t="s">
        <v>4</v>
      </c>
      <c r="B7" s="2">
        <v>10.023350322580646</v>
      </c>
      <c r="C7" s="3">
        <v>10.772860606060608</v>
      </c>
    </row>
    <row r="8" spans="1:3" ht="16" thickBot="1" x14ac:dyDescent="0.4">
      <c r="A8" s="12" t="s">
        <v>5</v>
      </c>
      <c r="B8" s="2">
        <v>6.4070670967741945</v>
      </c>
      <c r="C8" s="3">
        <v>6.8219381818181839</v>
      </c>
    </row>
    <row r="9" spans="1:3" ht="16" thickBot="1" x14ac:dyDescent="0.4">
      <c r="A9" s="12" t="s">
        <v>6</v>
      </c>
      <c r="B9" s="2">
        <v>81.169232258064511</v>
      </c>
      <c r="C9" s="3">
        <v>95.847190909090912</v>
      </c>
    </row>
    <row r="10" spans="1:3" ht="16" thickBot="1" x14ac:dyDescent="0.4">
      <c r="A10" s="11" t="s">
        <v>7</v>
      </c>
      <c r="B10" s="2">
        <v>150.82538709677422</v>
      </c>
      <c r="C10" s="3">
        <v>148.73472727272727</v>
      </c>
    </row>
    <row r="11" spans="1:3" ht="16" thickBot="1" x14ac:dyDescent="0.4">
      <c r="A11" s="11" t="s">
        <v>8</v>
      </c>
      <c r="B11" s="2">
        <v>1.3987512903225805</v>
      </c>
      <c r="C11" s="3">
        <v>1.3713533333333334</v>
      </c>
    </row>
    <row r="12" spans="1:3" ht="16" thickBot="1" x14ac:dyDescent="0.4">
      <c r="A12" s="13" t="s">
        <v>9</v>
      </c>
      <c r="B12" s="4">
        <v>1.5290548387096776</v>
      </c>
      <c r="C12" s="5">
        <v>1.4836081818181819</v>
      </c>
    </row>
    <row r="13" spans="1:3" ht="16" thickBot="1" x14ac:dyDescent="0.4">
      <c r="A13" s="11" t="s">
        <v>10</v>
      </c>
      <c r="B13" s="6">
        <v>18.422983870967744</v>
      </c>
      <c r="C13" s="3">
        <v>19.647384848484844</v>
      </c>
    </row>
    <row r="14" spans="1:3" ht="16" thickBot="1" x14ac:dyDescent="0.4">
      <c r="A14" s="12" t="s">
        <v>11</v>
      </c>
      <c r="B14" s="6">
        <v>5.3911125806451619</v>
      </c>
      <c r="C14" s="3">
        <v>5.5856006060606074</v>
      </c>
    </row>
    <row r="15" spans="1:3" ht="16" thickBot="1" x14ac:dyDescent="0.4">
      <c r="A15" s="11" t="s">
        <v>12</v>
      </c>
      <c r="B15" s="6">
        <v>7.1216774193548407</v>
      </c>
      <c r="C15" s="3">
        <v>7.0815845454545467</v>
      </c>
    </row>
    <row r="16" spans="1:3" ht="16" thickBot="1" x14ac:dyDescent="0.4">
      <c r="A16" s="11" t="s">
        <v>13</v>
      </c>
      <c r="B16" s="6">
        <v>1.2947583870967745</v>
      </c>
      <c r="C16" s="3">
        <v>1.3059927272727272</v>
      </c>
    </row>
    <row r="17" spans="1:3" ht="16" thickBot="1" x14ac:dyDescent="0.4">
      <c r="A17" s="11" t="s">
        <v>14</v>
      </c>
      <c r="B17" s="6">
        <v>7.7757238709677434</v>
      </c>
      <c r="C17" s="3">
        <v>7.7701339393939381</v>
      </c>
    </row>
    <row r="18" spans="1:3" ht="16" thickBot="1" x14ac:dyDescent="0.4">
      <c r="A18" s="11" t="s">
        <v>15</v>
      </c>
      <c r="B18" s="6">
        <v>4.2187103225806446</v>
      </c>
      <c r="C18" s="3">
        <v>4.2701251515151517</v>
      </c>
    </row>
    <row r="19" spans="1:3" ht="16" thickBot="1" x14ac:dyDescent="0.4">
      <c r="A19" s="12" t="s">
        <v>16</v>
      </c>
      <c r="B19" s="6">
        <v>32.573096774193544</v>
      </c>
      <c r="C19" s="3">
        <v>33.227475757575753</v>
      </c>
    </row>
    <row r="20" spans="1:3" ht="16" thickBot="1" x14ac:dyDescent="0.4">
      <c r="A20" s="11" t="s">
        <v>17</v>
      </c>
      <c r="B20" s="6">
        <v>30.610667741935483</v>
      </c>
      <c r="C20" s="3">
        <v>32.058054545454539</v>
      </c>
    </row>
    <row r="21" spans="1:3" ht="16" thickBot="1" x14ac:dyDescent="0.4">
      <c r="A21" s="11" t="s">
        <v>18</v>
      </c>
      <c r="B21" s="6">
        <v>1421.9948387096777</v>
      </c>
      <c r="C21" s="3">
        <v>1354.8554545454542</v>
      </c>
    </row>
    <row r="22" spans="1:3" ht="16" thickBot="1" x14ac:dyDescent="0.4">
      <c r="A22" s="13" t="s">
        <v>19</v>
      </c>
      <c r="B22" s="4">
        <v>88.374425806451626</v>
      </c>
      <c r="C22" s="5">
        <v>84.002190909090928</v>
      </c>
    </row>
    <row r="23" spans="1:3" ht="16" thickBot="1" x14ac:dyDescent="0.4">
      <c r="A23" s="11" t="s">
        <v>20</v>
      </c>
      <c r="B23" s="6">
        <v>20.856545161290324</v>
      </c>
      <c r="C23" s="3">
        <v>23.117163636363632</v>
      </c>
    </row>
    <row r="24" spans="1:3" ht="16" thickBot="1" x14ac:dyDescent="0.4">
      <c r="A24" s="11" t="s">
        <v>21</v>
      </c>
      <c r="B24" s="6">
        <v>3.646968387096774</v>
      </c>
      <c r="C24" s="3">
        <v>3.9413893939393936</v>
      </c>
    </row>
    <row r="25" spans="1:3" ht="16" thickBot="1" x14ac:dyDescent="0.4">
      <c r="A25" s="11" t="s">
        <v>22</v>
      </c>
      <c r="B25" s="6">
        <v>334.70670967741938</v>
      </c>
      <c r="C25" s="3">
        <v>366.61978787878797</v>
      </c>
    </row>
    <row r="26" spans="1:3" ht="16" thickBot="1" x14ac:dyDescent="0.4">
      <c r="A26" s="11" t="s">
        <v>23</v>
      </c>
      <c r="B26" s="6">
        <v>41.629799999999996</v>
      </c>
      <c r="C26" s="3">
        <v>41.273654545454541</v>
      </c>
    </row>
    <row r="27" spans="1:3" ht="16" thickBot="1" x14ac:dyDescent="0.4">
      <c r="A27" s="11" t="s">
        <v>24</v>
      </c>
      <c r="B27" s="6">
        <v>540.50177419354839</v>
      </c>
      <c r="C27" s="3">
        <v>484.98469696969698</v>
      </c>
    </row>
    <row r="28" spans="1:3" ht="16" thickBot="1" x14ac:dyDescent="0.4">
      <c r="A28" s="11" t="s">
        <v>25</v>
      </c>
      <c r="B28" s="6">
        <v>41.819300000000013</v>
      </c>
      <c r="C28" s="3">
        <v>34.247593939393944</v>
      </c>
    </row>
    <row r="29" spans="1:3" ht="16" thickBot="1" x14ac:dyDescent="0.4">
      <c r="A29" s="11" t="s">
        <v>26</v>
      </c>
      <c r="B29" s="6">
        <v>26351.380645161291</v>
      </c>
      <c r="C29" s="3">
        <v>24976.606060606053</v>
      </c>
    </row>
    <row r="30" spans="1:3" ht="16" thickBot="1" x14ac:dyDescent="0.4">
      <c r="A30" s="11" t="s">
        <v>27</v>
      </c>
      <c r="B30" s="6">
        <v>1.7352045161290321</v>
      </c>
      <c r="C30" s="3">
        <v>1.6344221212121213</v>
      </c>
    </row>
    <row r="31" spans="1:3" ht="16" thickBot="1" x14ac:dyDescent="0.4">
      <c r="A31" s="11" t="s">
        <v>28</v>
      </c>
      <c r="B31" s="6">
        <v>3.6728022580645163</v>
      </c>
      <c r="C31" s="3">
        <v>3.6730293939393941</v>
      </c>
    </row>
    <row r="32" spans="1:3" ht="16" thickBot="1" x14ac:dyDescent="0.4">
      <c r="A32" s="11" t="s">
        <v>29</v>
      </c>
      <c r="B32" s="6">
        <v>58.296887096774206</v>
      </c>
      <c r="C32" s="3">
        <v>57.239672727272726</v>
      </c>
    </row>
    <row r="33" spans="1:3" ht="16" thickBot="1" x14ac:dyDescent="0.4">
      <c r="A33" s="11" t="s">
        <v>30</v>
      </c>
      <c r="B33" s="2">
        <v>16598.735483870969</v>
      </c>
      <c r="C33" s="8">
        <v>15525.448484848488</v>
      </c>
    </row>
    <row r="34" spans="1:3" ht="15.5" x14ac:dyDescent="0.35">
      <c r="A34" s="13" t="s">
        <v>31</v>
      </c>
      <c r="B34" s="4">
        <v>3.6453329032258059</v>
      </c>
      <c r="C34" s="5">
        <v>3.6493457575757575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</vt:lpstr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Avinash MT-GBSI</dc:creator>
  <cp:lastModifiedBy>Singh Jayesh MT-GBSI</cp:lastModifiedBy>
  <dcterms:created xsi:type="dcterms:W3CDTF">2025-10-16T10:52:11Z</dcterms:created>
  <dcterms:modified xsi:type="dcterms:W3CDTF">2025-11-06T14:46:59Z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f615ef3-aa90-4fa2-9d66-c4f70f9fc413_Enabled">
    <vt:lpwstr>true</vt:lpwstr>
  </property>
  <property fmtid="{D5CDD505-2E9C-101B-9397-08002B2CF9AE}" pid="5" name="MSIP_Label_af615ef3-aa90-4fa2-9d66-c4f70f9fc413_SetDate">
    <vt:lpwstr>2025-10-16T10:54:38Z</vt:lpwstr>
  </property>
  <property fmtid="{D5CDD505-2E9C-101B-9397-08002B2CF9AE}" pid="6" name="MSIP_Label_af615ef3-aa90-4fa2-9d66-c4f70f9fc413_Method">
    <vt:lpwstr>Standard</vt:lpwstr>
  </property>
  <property fmtid="{D5CDD505-2E9C-101B-9397-08002B2CF9AE}" pid="7" name="MSIP_Label_af615ef3-aa90-4fa2-9d66-c4f70f9fc413_Name">
    <vt:lpwstr>Confidential</vt:lpwstr>
  </property>
  <property fmtid="{D5CDD505-2E9C-101B-9397-08002B2CF9AE}" pid="8" name="MSIP_Label_af615ef3-aa90-4fa2-9d66-c4f70f9fc413_SiteId">
    <vt:lpwstr>fb4c0aee-6cd2-482f-a1a5-717e7c02496b</vt:lpwstr>
  </property>
  <property fmtid="{D5CDD505-2E9C-101B-9397-08002B2CF9AE}" pid="9" name="MSIP_Label_af615ef3-aa90-4fa2-9d66-c4f70f9fc413_ActionId">
    <vt:lpwstr>108b83f9-0201-4144-bc5b-6eb627534f00</vt:lpwstr>
  </property>
  <property fmtid="{D5CDD505-2E9C-101B-9397-08002B2CF9AE}" pid="10" name="MSIP_Label_af615ef3-aa90-4fa2-9d66-c4f70f9fc413_ContentBits">
    <vt:lpwstr>0</vt:lpwstr>
  </property>
  <property fmtid="{D5CDD505-2E9C-101B-9397-08002B2CF9AE}" pid="11" name="MSIP_Label_af615ef3-aa90-4fa2-9d66-c4f70f9fc413_Tag">
    <vt:lpwstr>10, 3, 0, 1</vt:lpwstr>
  </property>
</Properties>
</file>