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gh-128\Downloads\Data Cleansing Project\pex-data\"/>
    </mc:Choice>
  </mc:AlternateContent>
  <xr:revisionPtr revIDLastSave="0" documentId="13_ncr:1_{7F60DE97-7826-4D1A-9947-E04F6C11A615}" xr6:coauthVersionLast="47" xr6:coauthVersionMax="47" xr10:uidLastSave="{00000000-0000-0000-0000-000000000000}"/>
  <bookViews>
    <workbookView xWindow="-110" yWindow="-110" windowWidth="19420" windowHeight="10300" activeTab="4" xr2:uid="{726400D5-CF94-406F-B52A-4611215870AB}"/>
  </bookViews>
  <sheets>
    <sheet name="Sheet2" sheetId="2" r:id="rId1"/>
    <sheet name="Sheet5" sheetId="5" r:id="rId2"/>
    <sheet name="Sheet3" sheetId="3" r:id="rId3"/>
    <sheet name="Sheet1" sheetId="1" r:id="rId4"/>
    <sheet name="Sheet4" sheetId="6" r:id="rId5"/>
  </sheets>
  <definedNames>
    <definedName name="_xlnm._FilterDatabase" localSheetId="3" hidden="1">Sheet1!$A$1:$H$1</definedName>
  </definedNames>
  <calcPr calcId="191029" concurrentManualCount="22"/>
  <pivotCaches>
    <pivotCache cacheId="0" r:id="rId6"/>
    <pivotCache cacheId="1" r:id="rId7"/>
    <pivotCache cacheId="2" r:id="rId8"/>
    <pivotCache cacheId="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3" i="1" l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2" i="1"/>
</calcChain>
</file>

<file path=xl/sharedStrings.xml><?xml version="1.0" encoding="utf-8"?>
<sst xmlns="http://schemas.openxmlformats.org/spreadsheetml/2006/main" count="3953" uniqueCount="360">
  <si>
    <t>Company Code</t>
  </si>
  <si>
    <t>Profit Center</t>
  </si>
  <si>
    <t>Cost Element</t>
  </si>
  <si>
    <t>CE Name</t>
  </si>
  <si>
    <t>Functional area</t>
  </si>
  <si>
    <t>Actual JAN 2025</t>
  </si>
  <si>
    <t>Prior Yr JAN 2024</t>
  </si>
  <si>
    <t>Mettler-Toledo, LLC - MTI</t>
  </si>
  <si>
    <t>MTMO-US</t>
  </si>
  <si>
    <t>Building Rent</t>
  </si>
  <si>
    <t>Service</t>
  </si>
  <si>
    <t>Marketing</t>
  </si>
  <si>
    <t>General &amp; Admin</t>
  </si>
  <si>
    <t>Mov. Assets Rent</t>
  </si>
  <si>
    <t>MaintBuilding-Leased</t>
  </si>
  <si>
    <t>Utility-Elect-Leased</t>
  </si>
  <si>
    <t>Utility-NatGas-Lease</t>
  </si>
  <si>
    <t>Util-WatSewer-Lease</t>
  </si>
  <si>
    <t>Utility-Other-Leased</t>
  </si>
  <si>
    <t>ST LsEx-RealEst-Leas</t>
  </si>
  <si>
    <t>LseNotCap-RealEstExp</t>
  </si>
  <si>
    <t>Maintenance Building</t>
  </si>
  <si>
    <t>Utilities - Electric</t>
  </si>
  <si>
    <t>Utilities - Nat. Gas</t>
  </si>
  <si>
    <t>Utilities Water&amp;Sewr</t>
  </si>
  <si>
    <t>Utilities - Other</t>
  </si>
  <si>
    <t>Real Estate Tax</t>
  </si>
  <si>
    <t>Property Insurance</t>
  </si>
  <si>
    <t>Meals/Entertainment</t>
  </si>
  <si>
    <t>Logistics&amp;Purch. Costs</t>
  </si>
  <si>
    <t>Promotion</t>
  </si>
  <si>
    <t>Hotel Accommodations</t>
  </si>
  <si>
    <t>Airfare</t>
  </si>
  <si>
    <t>Other Transportation</t>
  </si>
  <si>
    <t>Auto Rental</t>
  </si>
  <si>
    <t>Mileage/Km Reimburse</t>
  </si>
  <si>
    <t>Meetings Exp</t>
  </si>
  <si>
    <t>Other Trav. &amp; Enter.</t>
  </si>
  <si>
    <t>Vehicle Leasing</t>
  </si>
  <si>
    <t>VehLeaseExp-Variable</t>
  </si>
  <si>
    <t>Vehicle Rental</t>
  </si>
  <si>
    <t>Vehicle Fuel</t>
  </si>
  <si>
    <t>Vehicle Insurance</t>
  </si>
  <si>
    <t>Vehicle Maint.</t>
  </si>
  <si>
    <t>Vehicle Other</t>
  </si>
  <si>
    <t>Data networking cst</t>
  </si>
  <si>
    <t>Telecom Mobile</t>
  </si>
  <si>
    <t>Telecom Services</t>
  </si>
  <si>
    <t>Telephone Local</t>
  </si>
  <si>
    <t>R&amp;D Suppl. &amp; Mat'ls</t>
  </si>
  <si>
    <t>SW Maint./Subscript.</t>
  </si>
  <si>
    <t>IT HW Maintenance</t>
  </si>
  <si>
    <t>Direct Mail</t>
  </si>
  <si>
    <t>Advertising</t>
  </si>
  <si>
    <t>Marketing Print</t>
  </si>
  <si>
    <t>Publicity</t>
  </si>
  <si>
    <t>Telemarketing</t>
  </si>
  <si>
    <t>Electronic Marketing</t>
  </si>
  <si>
    <t>Prom or Rebate Offer</t>
  </si>
  <si>
    <t>Trade Shows</t>
  </si>
  <si>
    <t>Giveaway Items</t>
  </si>
  <si>
    <t>Catalogs</t>
  </si>
  <si>
    <t>Mktg Translation Exp</t>
  </si>
  <si>
    <t>Other Promo Expense</t>
  </si>
  <si>
    <t>Ext.Audit &amp; SOX Fees</t>
  </si>
  <si>
    <t>Oth. Ext. Audit Fees</t>
  </si>
  <si>
    <t>Tax Prof. Fees</t>
  </si>
  <si>
    <t>Legal Fees</t>
  </si>
  <si>
    <t>IT Professional Fees</t>
  </si>
  <si>
    <t>Temporary Employees</t>
  </si>
  <si>
    <t>HR &amp; Recruiting Fees</t>
  </si>
  <si>
    <t>Oth. Cons.&amp;Prof Fees</t>
  </si>
  <si>
    <t>Tooling not capital.</t>
  </si>
  <si>
    <t>Maint. Mach.&amp;Equip.</t>
  </si>
  <si>
    <t>IT HW not capital.</t>
  </si>
  <si>
    <t>Software not capital</t>
  </si>
  <si>
    <t>Office Equip not cap</t>
  </si>
  <si>
    <t>Other Capex not Cap.</t>
  </si>
  <si>
    <t>IC Alloc In IT In</t>
  </si>
  <si>
    <t>IC Alloc In Admin</t>
  </si>
  <si>
    <t>IC Alloc In Mkt Sell</t>
  </si>
  <si>
    <t>IC Alloc In Others</t>
  </si>
  <si>
    <t>IC Alloc Out Admin</t>
  </si>
  <si>
    <t>IC Alloc Out MktSell</t>
  </si>
  <si>
    <t>IC Alloc Out GrpFunc</t>
  </si>
  <si>
    <t>IC Alloc Out Others</t>
  </si>
  <si>
    <t>Books &amp; Periodicals</t>
  </si>
  <si>
    <t>Misc Ship/Postage</t>
  </si>
  <si>
    <t>Office Supplies</t>
  </si>
  <si>
    <t>Non Office Equipment</t>
  </si>
  <si>
    <t>Record Retention</t>
  </si>
  <si>
    <t>Weights&amp;Measures Exp</t>
  </si>
  <si>
    <t>Product/Liab. Ins.</t>
  </si>
  <si>
    <t>Charitable Donations</t>
  </si>
  <si>
    <t>Shop Supplies</t>
  </si>
  <si>
    <t>Uniforms</t>
  </si>
  <si>
    <t>Membership Fees</t>
  </si>
  <si>
    <t>Rented Equipment</t>
  </si>
  <si>
    <t>LseNotCap-OthEqExp</t>
  </si>
  <si>
    <t>Invent'y Consump. CC</t>
  </si>
  <si>
    <t>Restocking Inc/Exp</t>
  </si>
  <si>
    <t>Sales and Use Tax</t>
  </si>
  <si>
    <t>Other Taxes and Fees</t>
  </si>
  <si>
    <t>AP Discounts Receivd</t>
  </si>
  <si>
    <t>Other Misc Expense</t>
  </si>
  <si>
    <t>Capitalized Costs</t>
  </si>
  <si>
    <t>Depr. Building</t>
  </si>
  <si>
    <t>Depr. Equipm.Trans</t>
  </si>
  <si>
    <t>Depr. Equipm. Mach.</t>
  </si>
  <si>
    <t>Depr. Equipm.IT&amp;Tele</t>
  </si>
  <si>
    <t>Depr. Equipm.Other</t>
  </si>
  <si>
    <t>Depr. Equipm.Rental</t>
  </si>
  <si>
    <t>Sal. perm. employee</t>
  </si>
  <si>
    <t>OT (w/o surcharge)</t>
  </si>
  <si>
    <t>Other Base Comp</t>
  </si>
  <si>
    <t>Absence/Vacation Exp</t>
  </si>
  <si>
    <t>Social Security</t>
  </si>
  <si>
    <t>Pension (401k/PK)</t>
  </si>
  <si>
    <t>Medical Insurance</t>
  </si>
  <si>
    <t>Unemployment Premium</t>
  </si>
  <si>
    <t>Worker's Comp</t>
  </si>
  <si>
    <t>Other Social Costs</t>
  </si>
  <si>
    <t>Empl. training exp.</t>
  </si>
  <si>
    <t>Travel/Auto Allow'ce</t>
  </si>
  <si>
    <t>Signing/Prop bonus</t>
  </si>
  <si>
    <t>Application fees</t>
  </si>
  <si>
    <t>Severance Pay</t>
  </si>
  <si>
    <t>Employee Relocation</t>
  </si>
  <si>
    <t>Tuition Reimbursem't</t>
  </si>
  <si>
    <t>Other Personnel Exp</t>
  </si>
  <si>
    <t>ZZZZZZ2</t>
  </si>
  <si>
    <t>Free of Charge COPA</t>
  </si>
  <si>
    <t>ZZZZZZ3</t>
  </si>
  <si>
    <t>Total PEX from COPA</t>
  </si>
  <si>
    <t>ZZZZZZ4</t>
  </si>
  <si>
    <t>Total PEX  Cost Acco</t>
  </si>
  <si>
    <t>ZZZZZZ5</t>
  </si>
  <si>
    <t>Prov. For Bad Debt</t>
  </si>
  <si>
    <t>ZZZZZZ6</t>
  </si>
  <si>
    <t>Losses on Trade AR</t>
  </si>
  <si>
    <t>ZZZZZZ7</t>
  </si>
  <si>
    <t>Net Loss/Gain on Dis</t>
  </si>
  <si>
    <t>ZZZZZ11</t>
  </si>
  <si>
    <t>Other Expense</t>
  </si>
  <si>
    <t>Bonus Expense Local</t>
  </si>
  <si>
    <t>Bonus Expense POBS</t>
  </si>
  <si>
    <t>Empl. Sales Comm.</t>
  </si>
  <si>
    <t>Other Spec. Incent.</t>
  </si>
  <si>
    <t>ZZZZZZ1</t>
  </si>
  <si>
    <t>Commissions - COPA</t>
  </si>
  <si>
    <t>Not Assigned Cost Element (s)</t>
  </si>
  <si>
    <t/>
  </si>
  <si>
    <t>Fixed Manufacturing Costs</t>
  </si>
  <si>
    <t>Mapping</t>
  </si>
  <si>
    <t>Row Labels</t>
  </si>
  <si>
    <t>Grand Total</t>
  </si>
  <si>
    <t>Sum of Actual JAN 2025</t>
  </si>
  <si>
    <t>Sum of Prior Yr JAN 2024</t>
  </si>
  <si>
    <t>Sum of variance Amount</t>
  </si>
  <si>
    <t>Sum of Variance %</t>
  </si>
  <si>
    <t>Sum of % Dist</t>
  </si>
  <si>
    <t>Sum of % Distri</t>
  </si>
  <si>
    <t>Calculated Field</t>
  </si>
  <si>
    <t>Solve Order</t>
  </si>
  <si>
    <t>Field</t>
  </si>
  <si>
    <t>Formula</t>
  </si>
  <si>
    <t>variance Amount</t>
  </si>
  <si>
    <t>='Actual JAN 2025'-'Prior Yr JAN 2024'</t>
  </si>
  <si>
    <t>Variance %</t>
  </si>
  <si>
    <t>='variance Amount'/'Prior Yr JAN 2024'</t>
  </si>
  <si>
    <t>% Dist</t>
  </si>
  <si>
    <t>='variance Amount'</t>
  </si>
  <si>
    <t>% Distri</t>
  </si>
  <si>
    <t>Calculated Item</t>
  </si>
  <si>
    <t>Item</t>
  </si>
  <si>
    <t>Note:</t>
  </si>
  <si>
    <t>When a cell is updated by more than one formula,</t>
  </si>
  <si>
    <t>the value is set by the formula with the last solve order.</t>
  </si>
  <si>
    <t>To change the solve order for multiple calculated items or fields,</t>
  </si>
  <si>
    <t>on the Options tab, in the Calculations group, click Fields, Items, &amp; Sets, and then click Solve Order.</t>
  </si>
  <si>
    <t>Promotion and Advert</t>
  </si>
  <si>
    <t>Audit &amp; SOX costs</t>
  </si>
  <si>
    <t>Base Compensation</t>
  </si>
  <si>
    <t>Bonus</t>
  </si>
  <si>
    <t>Capex not Capitalize</t>
  </si>
  <si>
    <t>Commissions / Other</t>
  </si>
  <si>
    <t>Consultants &amp; Other</t>
  </si>
  <si>
    <t>Depreciation</t>
  </si>
  <si>
    <t>Hardware / Software</t>
  </si>
  <si>
    <t>Intercompany Charges</t>
  </si>
  <si>
    <t>Maintenance and Util</t>
  </si>
  <si>
    <t>Other Personnel Expe</t>
  </si>
  <si>
    <t>R&amp;D Materials &amp; Sub Contractors</t>
  </si>
  <si>
    <t>Social Costs / Benef</t>
  </si>
  <si>
    <t>Telecommunications</t>
  </si>
  <si>
    <t>Travel and Entertain</t>
  </si>
  <si>
    <t>Vehicle Costs</t>
  </si>
  <si>
    <t>TOP</t>
  </si>
  <si>
    <t>Total Period Expense</t>
  </si>
  <si>
    <t>TOP_00</t>
  </si>
  <si>
    <t>Total PEX ex-Bonus/C</t>
  </si>
  <si>
    <t>7210100</t>
  </si>
  <si>
    <t>7210110</t>
  </si>
  <si>
    <t>7210111</t>
  </si>
  <si>
    <t>7210112</t>
  </si>
  <si>
    <t>7210113</t>
  </si>
  <si>
    <t>7210114</t>
  </si>
  <si>
    <t>7210115</t>
  </si>
  <si>
    <t>7210116</t>
  </si>
  <si>
    <t>RealEstateTax-Leased</t>
  </si>
  <si>
    <t>7210117</t>
  </si>
  <si>
    <t>PropertyInsure-Lease</t>
  </si>
  <si>
    <t>7210118</t>
  </si>
  <si>
    <t>7210119</t>
  </si>
  <si>
    <t>7210200</t>
  </si>
  <si>
    <t>7210410</t>
  </si>
  <si>
    <t>7210420</t>
  </si>
  <si>
    <t>7210430</t>
  </si>
  <si>
    <t>7210490</t>
  </si>
  <si>
    <t>7210500</t>
  </si>
  <si>
    <t>7210600</t>
  </si>
  <si>
    <t>7220050</t>
  </si>
  <si>
    <t>7220100</t>
  </si>
  <si>
    <t>7220150</t>
  </si>
  <si>
    <t>7220250</t>
  </si>
  <si>
    <t>7220300</t>
  </si>
  <si>
    <t>7220350</t>
  </si>
  <si>
    <t>7220800</t>
  </si>
  <si>
    <t>7220900</t>
  </si>
  <si>
    <t>7230050</t>
  </si>
  <si>
    <t>7230055</t>
  </si>
  <si>
    <t>7230060</t>
  </si>
  <si>
    <t>7230100</t>
  </si>
  <si>
    <t>7230150</t>
  </si>
  <si>
    <t>7230200</t>
  </si>
  <si>
    <t>7230250</t>
  </si>
  <si>
    <t>7240050</t>
  </si>
  <si>
    <t>7240100</t>
  </si>
  <si>
    <t>7240150</t>
  </si>
  <si>
    <t>7240200</t>
  </si>
  <si>
    <t>7250050</t>
  </si>
  <si>
    <t>7260050</t>
  </si>
  <si>
    <t>7260100</t>
  </si>
  <si>
    <t>7270050</t>
  </si>
  <si>
    <t>7270100</t>
  </si>
  <si>
    <t>7270150</t>
  </si>
  <si>
    <t>7270200</t>
  </si>
  <si>
    <t>7270300</t>
  </si>
  <si>
    <t>7270350</t>
  </si>
  <si>
    <t>7270400</t>
  </si>
  <si>
    <t>7270450</t>
  </si>
  <si>
    <t>7270500</t>
  </si>
  <si>
    <t>7270550</t>
  </si>
  <si>
    <t>7270800</t>
  </si>
  <si>
    <t>7270900</t>
  </si>
  <si>
    <t>7280100</t>
  </si>
  <si>
    <t>7280900</t>
  </si>
  <si>
    <t>7290050</t>
  </si>
  <si>
    <t>7290100</t>
  </si>
  <si>
    <t>7290150</t>
  </si>
  <si>
    <t>7290250</t>
  </si>
  <si>
    <t>7290300</t>
  </si>
  <si>
    <t>SCM/Logist. Consult.</t>
  </si>
  <si>
    <t>7290400</t>
  </si>
  <si>
    <t>7290900</t>
  </si>
  <si>
    <t>7291100</t>
  </si>
  <si>
    <t>7291200</t>
  </si>
  <si>
    <t>7291300</t>
  </si>
  <si>
    <t>7291350</t>
  </si>
  <si>
    <t>7291400</t>
  </si>
  <si>
    <t>7291900</t>
  </si>
  <si>
    <t>7292100</t>
  </si>
  <si>
    <t>7292110</t>
  </si>
  <si>
    <t>7292140</t>
  </si>
  <si>
    <t>7292490</t>
  </si>
  <si>
    <t>7292540</t>
  </si>
  <si>
    <t>7292550</t>
  </si>
  <si>
    <t>7292560</t>
  </si>
  <si>
    <t>7292990</t>
  </si>
  <si>
    <t>7299010</t>
  </si>
  <si>
    <t>7299030</t>
  </si>
  <si>
    <t>7299040</t>
  </si>
  <si>
    <t>7299050</t>
  </si>
  <si>
    <t>7299070</t>
  </si>
  <si>
    <t>7299080</t>
  </si>
  <si>
    <t>7299100</t>
  </si>
  <si>
    <t>7299210</t>
  </si>
  <si>
    <t>7299230</t>
  </si>
  <si>
    <t>7299250</t>
  </si>
  <si>
    <t>7299260</t>
  </si>
  <si>
    <t>7299270</t>
  </si>
  <si>
    <t>7299273</t>
  </si>
  <si>
    <t>7299300</t>
  </si>
  <si>
    <t>7299400</t>
  </si>
  <si>
    <t>7299520</t>
  </si>
  <si>
    <t>7299530</t>
  </si>
  <si>
    <t>7299800</t>
  </si>
  <si>
    <t>7299900</t>
  </si>
  <si>
    <t>7299950</t>
  </si>
  <si>
    <t>7300050</t>
  </si>
  <si>
    <t>7300100</t>
  </si>
  <si>
    <t>7300110</t>
  </si>
  <si>
    <t>7300120</t>
  </si>
  <si>
    <t>7300130</t>
  </si>
  <si>
    <t>7300140</t>
  </si>
  <si>
    <t>7100050</t>
  </si>
  <si>
    <t>7100150</t>
  </si>
  <si>
    <t>7100900</t>
  </si>
  <si>
    <t>7110050</t>
  </si>
  <si>
    <t>7110150</t>
  </si>
  <si>
    <t>7110200</t>
  </si>
  <si>
    <t>7110300</t>
  </si>
  <si>
    <t>7110350</t>
  </si>
  <si>
    <t>7110460</t>
  </si>
  <si>
    <t>7110900</t>
  </si>
  <si>
    <t>7120050</t>
  </si>
  <si>
    <t>7120200</t>
  </si>
  <si>
    <t>7120250</t>
  </si>
  <si>
    <t>7120350</t>
  </si>
  <si>
    <t>Job advertisement</t>
  </si>
  <si>
    <t>7120400</t>
  </si>
  <si>
    <t>7120450</t>
  </si>
  <si>
    <t>7120650</t>
  </si>
  <si>
    <t>7120750</t>
  </si>
  <si>
    <t>7120900</t>
  </si>
  <si>
    <t>TOP_01</t>
  </si>
  <si>
    <t>Total Personnel Expe</t>
  </si>
  <si>
    <t>TOP_01_01</t>
  </si>
  <si>
    <t>TOP_01_02</t>
  </si>
  <si>
    <t>TOP_01_03</t>
  </si>
  <si>
    <t>TOP_01_04</t>
  </si>
  <si>
    <t>7130050</t>
  </si>
  <si>
    <t>7130100</t>
  </si>
  <si>
    <t>TOP_01_05</t>
  </si>
  <si>
    <t>7140050</t>
  </si>
  <si>
    <t>7140100</t>
  </si>
  <si>
    <t>TOP_02</t>
  </si>
  <si>
    <t>TOP_03</t>
  </si>
  <si>
    <t>Agent Commissions /</t>
  </si>
  <si>
    <t>TOP_04</t>
  </si>
  <si>
    <t>TOP_15</t>
  </si>
  <si>
    <t>TOP_05</t>
  </si>
  <si>
    <t>TOP_06</t>
  </si>
  <si>
    <t>TOP_07</t>
  </si>
  <si>
    <t>TOP_08</t>
  </si>
  <si>
    <t>R&amp;D Materials &amp; Sub-</t>
  </si>
  <si>
    <t>TOP_09</t>
  </si>
  <si>
    <t>TOP_10</t>
  </si>
  <si>
    <t>TOP_11</t>
  </si>
  <si>
    <t>TOP_12</t>
  </si>
  <si>
    <t>TOP_16</t>
  </si>
  <si>
    <t>Total Other Period E</t>
  </si>
  <si>
    <t>TOP_16_01</t>
  </si>
  <si>
    <t>Other Period Expense</t>
  </si>
  <si>
    <t>TOP_16_02</t>
  </si>
  <si>
    <t>TOP_14</t>
  </si>
  <si>
    <t>Head</t>
  </si>
  <si>
    <t>Agent Commissions / Dealer Programs</t>
  </si>
  <si>
    <t>IC Charges-BlueOcean</t>
  </si>
  <si>
    <t>ZZZZZ12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</si>
</sst>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,000"/>
    <numFmt numFmtId="165" formatCode="&quot;[+] &quot;@"/>
    <numFmt numFmtId="166" formatCode="&quot;$&quot;#,##0.00"/>
    <numFmt numFmtId="167" formatCode="&quot;[-] &quot;@"/>
    <numFmt numFmtId="168" formatCode="&quot;  [-] &quot;@"/>
    <numFmt numFmtId="169" formatCode="&quot;         &quot;@"/>
    <numFmt numFmtId="170" formatCode="&quot;    [-] &quot;@"/>
    <numFmt numFmtId="171" formatCode="&quot;           &quot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1F497D"/>
      <name val="Verdana"/>
      <family val="2"/>
    </font>
    <font>
      <sz val="8"/>
      <color rgb="FF000000"/>
      <name val="Verdana"/>
      <family val="2"/>
    </font>
    <font>
      <sz val="8"/>
      <color rgb="FF1F497D"/>
      <name val="Verdana"/>
      <family val="2"/>
    </font>
    <font>
      <b/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rgb="FFE9EFF7"/>
        <bgColor rgb="FF000000"/>
      </patternFill>
    </fill>
  </fills>
  <borders count="14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/>
      <bottom style="thin">
        <color indexed="8"/>
      </bottom>
      <diagonal/>
    </border>
  </borders>
  <cellStyleXfs count="10">
    <xf numFmtId="0" fontId="0" fillId="0" borderId="0"/>
    <xf numFmtId="0" fontId="2" fillId="2" borderId="1" applyNumberFormat="0" applyAlignment="0" applyProtection="0">
      <alignment horizontal="left" vertical="center" indent="1"/>
    </xf>
    <xf numFmtId="0" fontId="3" fillId="3" borderId="1" applyNumberFormat="0" applyAlignment="0" applyProtection="0">
      <alignment horizontal="left" vertical="center" indent="1"/>
    </xf>
    <xf numFmtId="164" fontId="4" fillId="4" borderId="1" applyNumberFormat="0" applyAlignment="0" applyProtection="0">
      <alignment horizontal="left" vertical="center" indent="1"/>
    </xf>
    <xf numFmtId="164" fontId="4" fillId="0" borderId="2" applyNumberFormat="0" applyProtection="0">
      <alignment horizontal="right" vertical="center"/>
    </xf>
    <xf numFmtId="0" fontId="2" fillId="2" borderId="3" applyNumberFormat="0" applyAlignment="0" applyProtection="0">
      <alignment horizontal="left" vertical="center" indent="1"/>
    </xf>
    <xf numFmtId="164" fontId="2" fillId="0" borderId="3" applyNumberFormat="0" applyProtection="0">
      <alignment horizontal="right" vertical="center"/>
    </xf>
    <xf numFmtId="0" fontId="3" fillId="5" borderId="1" applyNumberFormat="0" applyAlignment="0" applyProtection="0">
      <alignment horizontal="left" vertical="center" indent="1"/>
    </xf>
    <xf numFmtId="0" fontId="3" fillId="6" borderId="1" applyNumberFormat="0" applyAlignment="0" applyProtection="0">
      <alignment horizontal="left" vertical="center" indent="1"/>
    </xf>
    <xf numFmtId="0" fontId="3" fillId="7" borderId="1" applyNumberFormat="0" applyAlignment="0" applyProtection="0">
      <alignment horizontal="left" vertical="center" indent="1"/>
    </xf>
  </cellStyleXfs>
  <cellXfs count="36">
    <xf numFmtId="0" fontId="0" fillId="0" borderId="0" xfId="0"/>
    <xf numFmtId="0" fontId="2" fillId="2" borderId="1" xfId="1" quotePrefix="1" applyNumberFormat="1" applyAlignment="1"/>
    <xf numFmtId="0" fontId="2" fillId="2" borderId="1" xfId="1" applyNumberFormat="1" applyAlignment="1"/>
    <xf numFmtId="0" fontId="3" fillId="3" borderId="1" xfId="2" quotePrefix="1" applyNumberFormat="1" applyAlignment="1"/>
    <xf numFmtId="0" fontId="4" fillId="4" borderId="1" xfId="3" quotePrefix="1" applyNumberFormat="1" applyAlignment="1"/>
    <xf numFmtId="165" fontId="3" fillId="3" borderId="1" xfId="2" quotePrefix="1" applyNumberFormat="1" applyAlignment="1"/>
    <xf numFmtId="37" fontId="4" fillId="0" borderId="2" xfId="4" applyNumberFormat="1">
      <alignment horizontal="right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0" borderId="0" xfId="0" applyFont="1" applyAlignment="1">
      <alignment horizontal="left"/>
    </xf>
    <xf numFmtId="10" fontId="1" fillId="0" borderId="0" xfId="0" applyNumberFormat="1" applyFont="1"/>
    <xf numFmtId="0" fontId="5" fillId="0" borderId="0" xfId="0" applyFont="1"/>
    <xf numFmtId="0" fontId="1" fillId="0" borderId="13" xfId="0" applyFont="1" applyBorder="1"/>
    <xf numFmtId="166" fontId="0" fillId="0" borderId="0" xfId="0" applyNumberFormat="1"/>
    <xf numFmtId="166" fontId="1" fillId="0" borderId="0" xfId="0" applyNumberFormat="1" applyFont="1"/>
    <xf numFmtId="167" fontId="3" fillId="3" borderId="1" xfId="2" quotePrefix="1" applyNumberFormat="1" applyAlignment="1"/>
    <xf numFmtId="168" fontId="3" fillId="5" borderId="1" xfId="7" quotePrefix="1" applyNumberFormat="1" applyAlignment="1"/>
    <xf numFmtId="0" fontId="3" fillId="5" borderId="1" xfId="7" quotePrefix="1" applyNumberFormat="1" applyAlignment="1"/>
    <xf numFmtId="169" fontId="3" fillId="6" borderId="1" xfId="8" quotePrefix="1" applyNumberFormat="1" applyAlignment="1"/>
    <xf numFmtId="0" fontId="3" fillId="6" borderId="1" xfId="8" quotePrefix="1" applyNumberFormat="1" applyAlignment="1"/>
    <xf numFmtId="170" fontId="3" fillId="6" borderId="1" xfId="8" quotePrefix="1" applyNumberFormat="1" applyAlignment="1"/>
    <xf numFmtId="171" fontId="3" fillId="7" borderId="1" xfId="9" quotePrefix="1" applyNumberFormat="1" applyAlignment="1"/>
    <xf numFmtId="0" fontId="3" fillId="7" borderId="1" xfId="9" quotePrefix="1" applyNumberFormat="1" applyAlignment="1"/>
    <xf numFmtId="49" fontId="0" fillId="0" borderId="0" xfId="0" applyNumberFormat="1"/>
    <xf numFmtId="0" fontId="0" fillId="0" borderId="1" xfId="0" applyBorder="1"/>
    <xf numFmtId="0" fontId="0" fillId="0" borderId="2" xfId="0" applyBorder="1"/>
  </cellXfs>
  <cellStyles count="10">
    <cellStyle name="Normal" xfId="0" builtinId="0"/>
    <cellStyle name="SAPDataCell" xfId="4" xr:uid="{5F4145E4-8B84-4884-A526-68A2CFFC7474}"/>
    <cellStyle name="SAPDataTotalCell" xfId="6" xr:uid="{84AF449A-15EF-443C-B79B-5B5AB77E7939}"/>
    <cellStyle name="SAPDimensionCell" xfId="1" xr:uid="{27C203DE-1402-4E90-9586-CDAE48609ECC}"/>
    <cellStyle name="SAPHierarchyCell0" xfId="2" xr:uid="{3BA54665-B236-4500-BCE7-4FF90A96F74D}"/>
    <cellStyle name="SAPHierarchyCell1" xfId="7" xr:uid="{45E173D1-C9FB-4CED-91E1-B1C6E3D76EE4}"/>
    <cellStyle name="SAPHierarchyCell2" xfId="8" xr:uid="{CC23B1DA-A66D-4A01-86D3-B6739264EE3F}"/>
    <cellStyle name="SAPHierarchyCell3" xfId="9" xr:uid="{BD563F4A-3AF8-44B1-87C5-1FA69190AC6B}"/>
    <cellStyle name="SAPMemberCell" xfId="3" xr:uid="{6CA609B1-1BF0-4C67-A862-49DE7B149219}"/>
    <cellStyle name="SAPMemberTotalCell" xfId="5" xr:uid="{F7903C70-FD0F-476C-A5E3-933BA34AA0E4}"/>
  </cellStyles>
  <dxfs count="12">
    <dxf>
      <numFmt numFmtId="166" formatCode="&quot;$&quot;#,##0.00"/>
    </dxf>
    <dxf>
      <numFmt numFmtId="166" formatCode="&quot;$&quot;#,##0.00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&quot;$&quot;#,##0.0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nthy Dipankar MT-GBSI" refreshedDate="45910.749520833335" createdVersion="8" refreshedVersion="8" minRefreshableVersion="3" recordCount="482" xr:uid="{267058C5-FD36-4A86-A8DE-F8F1BCCB5227}">
  <cacheSource type="worksheet">
    <worksheetSource ref="A1:H1048576" sheet="Sheet1"/>
  </cacheSource>
  <cacheFields count="12">
    <cacheField name="Company Code" numFmtId="0">
      <sharedItems containsBlank="1"/>
    </cacheField>
    <cacheField name="Profit Center" numFmtId="0">
      <sharedItems containsBlank="1"/>
    </cacheField>
    <cacheField name="Cost Element" numFmtId="0">
      <sharedItems containsBlank="1"/>
    </cacheField>
    <cacheField name="CE Name" numFmtId="0">
      <sharedItems containsBlank="1" count="159">
        <s v="Total Period Expense"/>
        <s v="Total PEX ex-Bonus/C"/>
        <s v="Building Rent"/>
        <s v="Mov. Assets Rent"/>
        <s v="MaintBuilding-Leased"/>
        <s v="Utility-Elect-Leased"/>
        <s v="Utility-NatGas-Lease"/>
        <s v="Util-WatSewer-Lease"/>
        <s v="Utility-Other-Leased"/>
        <s v="RealEstateTax-Leased"/>
        <s v="PropertyInsure-Lease"/>
        <s v="ST LsEx-RealEst-Leas"/>
        <s v="LseNotCap-RealEstExp"/>
        <s v="Maintenance Building"/>
        <s v="Utilities - Electric"/>
        <s v="Utilities - Nat. Gas"/>
        <s v="Utilities Water&amp;Sewr"/>
        <s v="Utilities - Other"/>
        <s v="Real Estate Tax"/>
        <s v="Property Insurance"/>
        <s v="Meals/Entertainment"/>
        <s v="Hotel Accommodations"/>
        <s v="Airfare"/>
        <s v="Other Transportation"/>
        <s v="Auto Rental"/>
        <s v="Mileage/Km Reimburse"/>
        <s v="Meetings Exp"/>
        <s v="Other Trav. &amp; Enter."/>
        <s v="Vehicle Leasing"/>
        <s v="VehLeaseExp-Variable"/>
        <s v="Vehicle Rental"/>
        <s v="Vehicle Fuel"/>
        <s v="Vehicle Insurance"/>
        <s v="Vehicle Maint."/>
        <s v="Vehicle Other"/>
        <s v="Data networking cst"/>
        <s v="Telecom Mobile"/>
        <s v="Telecom Services"/>
        <s v="Telephone Local"/>
        <s v="R&amp;D Suppl. &amp; Mat'ls"/>
        <s v="SW Maint./Subscript."/>
        <s v="IT HW Maintenance"/>
        <s v="Direct Mail"/>
        <s v="Advertising"/>
        <s v="Marketing Print"/>
        <s v="Publicity"/>
        <s v="Telemarketing"/>
        <s v="Electronic Marketing"/>
        <s v="Prom or Rebate Offer"/>
        <s v="Trade Shows"/>
        <s v="Giveaway Items"/>
        <s v="Catalogs"/>
        <s v="Mktg Translation Exp"/>
        <s v="Other Promo Expense"/>
        <s v="Ext.Audit &amp; SOX Fees"/>
        <s v="Oth. Ext. Audit Fees"/>
        <s v="Tax Prof. Fees"/>
        <s v="Legal Fees"/>
        <s v="IT Professional Fees"/>
        <s v="Temporary Employees"/>
        <s v="SCM/Logist. Consult."/>
        <s v="HR &amp; Recruiting Fees"/>
        <s v="Oth. Cons.&amp;Prof Fees"/>
        <s v="Tooling not capital."/>
        <s v="Maint. Mach.&amp;Equip."/>
        <s v="IT HW not capital."/>
        <s v="Software not capital"/>
        <s v="Office Equip not cap"/>
        <s v="Other Capex not Cap."/>
        <s v="IC Alloc In IT In"/>
        <s v="IC Alloc In Admin"/>
        <s v="IC Alloc In Mkt Sell"/>
        <s v="IC Alloc In Others"/>
        <s v="IC Alloc Out Admin"/>
        <s v="IC Alloc Out MktSell"/>
        <s v="IC Alloc Out GrpFunc"/>
        <s v="IC Alloc Out Others"/>
        <s v="Books &amp; Periodicals"/>
        <s v="Misc Ship/Postage"/>
        <s v="Office Supplies"/>
        <s v="Non Office Equipment"/>
        <s v="Record Retention"/>
        <s v="Weights&amp;Measures Exp"/>
        <s v="Product/Liab. Ins."/>
        <s v="Charitable Donations"/>
        <s v="Shop Supplies"/>
        <s v="Uniforms"/>
        <s v="Membership Fees"/>
        <s v="Rented Equipment"/>
        <s v="LseNotCap-OthEqExp"/>
        <s v="Invent'y Consump. CC"/>
        <s v="Restocking Inc/Exp"/>
        <s v="Sales and Use Tax"/>
        <s v="Other Taxes and Fees"/>
        <s v="AP Discounts Receivd"/>
        <s v="Other Misc Expense"/>
        <s v="Capitalized Costs"/>
        <s v="Depr. Building"/>
        <s v="Depr. Equipm.Trans"/>
        <s v="Depr. Equipm. Mach."/>
        <s v="Depr. Equipm.IT&amp;Tele"/>
        <s v="Depr. Equipm.Other"/>
        <s v="Depr. Equipm.Rental"/>
        <s v="Sal. perm. employee"/>
        <s v="OT (w/o surcharge)"/>
        <s v="Other Base Comp"/>
        <s v="Absence/Vacation Exp"/>
        <s v="Social Security"/>
        <s v="Pension (401k/PK)"/>
        <s v="Medical Insurance"/>
        <s v="Unemployment Premium"/>
        <s v="Worker's Comp"/>
        <s v="Other Social Costs"/>
        <s v="Empl. training exp."/>
        <s v="Travel/Auto Allow'ce"/>
        <s v="Signing/Prop bonus"/>
        <s v="Job advertisement"/>
        <s v="Application fees"/>
        <s v="Severance Pay"/>
        <s v="Employee Relocation"/>
        <s v="Tuition Reimbursem't"/>
        <s v="Other Personnel Exp"/>
        <s v="Free of Charge COPA"/>
        <s v="Total PEX from COPA"/>
        <s v="Total PEX  Cost Acco"/>
        <s v="Prov. For Bad Debt"/>
        <s v="Losses on Trade AR"/>
        <s v="Net Loss/Gain on Dis"/>
        <s v="Other Expense"/>
        <s v="Total Personnel Expe"/>
        <s v="Base Compensation"/>
        <s v="Social Costs / Benef"/>
        <s v="Other Personnel Expe"/>
        <s v="Bonus"/>
        <s v="Bonus Expense Local"/>
        <s v="Bonus Expense POBS"/>
        <s v="Commissions / Other"/>
        <s v="Empl. Sales Comm."/>
        <s v="Other Spec. Incent."/>
        <s v="Travel and Entertain"/>
        <s v="Agent Commissions /"/>
        <s v="Commissions - COPA"/>
        <s v="Maintenance and Util"/>
        <s v="Telecommunications"/>
        <s v="Vehicle Costs"/>
        <s v="Promotion and Advert"/>
        <s v="Hardware / Software"/>
        <s v="R&amp;D Materials &amp; Sub-"/>
        <s v="Audit &amp; SOX costs"/>
        <s v="Consultants &amp; Other"/>
        <s v="Depreciation"/>
        <s v="Capex not Capitalize"/>
        <s v="Total Other Period E"/>
        <s v="Other Period Expense"/>
        <s v="Intercompany Charges"/>
        <s v=""/>
        <m/>
        <s v="Unemployment Comp" u="1"/>
        <s v="Telephone Long Dist" u="1"/>
      </sharedItems>
    </cacheField>
    <cacheField name="Functional area" numFmtId="0">
      <sharedItems containsBlank="1"/>
    </cacheField>
    <cacheField name="Actual JAN 2025" numFmtId="0">
      <sharedItems containsString="0" containsBlank="1" containsNumber="1" minValue="-7457090.5099999998" maxValue="5568805.5199999996"/>
    </cacheField>
    <cacheField name="Prior Yr JAN 2024" numFmtId="0">
      <sharedItems containsString="0" containsBlank="1" containsNumber="1" minValue="-6446877.6299999999" maxValue="5883161.9800000004"/>
    </cacheField>
    <cacheField name="Mapping" numFmtId="0">
      <sharedItems containsBlank="1" count="24">
        <s v=""/>
        <s v="Maintenance and Util"/>
        <s v="Travel and Entertain"/>
        <s v="Vehicle Costs"/>
        <s v="Telecommunications"/>
        <s v="R&amp;D Materials &amp; Sub Contractors"/>
        <s v="Hardware / Software"/>
        <s v="Promotion and Advert"/>
        <s v="Audit &amp; SOX costs"/>
        <s v="Consultants &amp; Other"/>
        <s v="Capex not Capitalize"/>
        <s v="Intercompany Charges"/>
        <s v="Other Period Expense"/>
        <s v="Depreciation"/>
        <s v="Base Compensation"/>
        <s v="Social Costs / Benef"/>
        <s v="Other Personnel Expe"/>
        <s v="Bonus"/>
        <s v="Commissions / Other"/>
        <s v="Agent Commissions / Dealer Programs"/>
        <m/>
        <s v="Other Period Expense" u="1"/>
        <e v="#N/A" u="1"/>
        <s v="Agent Commissions / Dealer Programs" u="1"/>
      </sharedItems>
    </cacheField>
    <cacheField name="variance Amount" numFmtId="0" formula="'Actual JAN 2025'-'Prior Yr JAN 2024'" databaseField="0"/>
    <cacheField name="Variance %" numFmtId="0" formula="'variance Amount'/'Prior Yr JAN 2024'" databaseField="0"/>
    <cacheField name="% Dist" numFmtId="0" formula="'variance Amount'" databaseField="0"/>
    <cacheField name="% Distri" numFmtId="0" formula="'variance Amount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nthy Dipankar MT-GBSI" refreshedDate="45910.749525115738" createdVersion="8" refreshedVersion="8" minRefreshableVersion="3" recordCount="482" xr:uid="{E5E3851D-20C0-4944-9110-41D06222A0AC}">
  <cacheSource type="worksheet">
    <worksheetSource ref="A1:G694" sheet="Sheet1"/>
  </cacheSource>
  <cacheFields count="7">
    <cacheField name="Company Code" numFmtId="0">
      <sharedItems containsBlank="1"/>
    </cacheField>
    <cacheField name="Profit Center" numFmtId="0">
      <sharedItems containsBlank="1"/>
    </cacheField>
    <cacheField name="Cost Element" numFmtId="0">
      <sharedItems containsBlank="1"/>
    </cacheField>
    <cacheField name="CE Name" numFmtId="0">
      <sharedItems containsBlank="1"/>
    </cacheField>
    <cacheField name="Functional area" numFmtId="0">
      <sharedItems containsBlank="1"/>
    </cacheField>
    <cacheField name="Actual JAN 2025" numFmtId="0">
      <sharedItems containsString="0" containsBlank="1" containsNumber="1" minValue="-7457090.5099999998" maxValue="5568805.5199999996"/>
    </cacheField>
    <cacheField name="Prior Yr JAN 2024" numFmtId="0">
      <sharedItems containsString="0" containsBlank="1" containsNumber="1" minValue="-6446877.6299999999" maxValue="5883161.98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nthy Dipankar MT-GBSI" refreshedDate="45910.749859953707" createdVersion="8" refreshedVersion="8" minRefreshableVersion="3" recordCount="482" xr:uid="{FA606BE7-696D-4FED-8857-66E6ABA29BE9}">
  <cacheSource type="worksheet">
    <worksheetSource ref="A1:H1048576" sheet="Sheet1"/>
  </cacheSource>
  <cacheFields count="12">
    <cacheField name="Company Code" numFmtId="0">
      <sharedItems containsBlank="1"/>
    </cacheField>
    <cacheField name="Profit Center" numFmtId="0">
      <sharedItems containsBlank="1"/>
    </cacheField>
    <cacheField name="Cost Element" numFmtId="0">
      <sharedItems containsBlank="1"/>
    </cacheField>
    <cacheField name="CE Name" numFmtId="0">
      <sharedItems containsBlank="1"/>
    </cacheField>
    <cacheField name="Functional area" numFmtId="0">
      <sharedItems containsBlank="1" count="7">
        <s v="Logistics&amp;Purch. Costs"/>
        <s v="Service"/>
        <s v="Marketing"/>
        <s v="Promotion"/>
        <s v="General &amp; Admin"/>
        <s v="Fixed Manufacturing Costs"/>
        <m/>
      </sharedItems>
    </cacheField>
    <cacheField name="Actual JAN 2025" numFmtId="0">
      <sharedItems containsString="0" containsBlank="1" containsNumber="1" minValue="-7457090.5099999998" maxValue="5568805.5199999996"/>
    </cacheField>
    <cacheField name="Prior Yr JAN 2024" numFmtId="0">
      <sharedItems containsString="0" containsBlank="1" containsNumber="1" minValue="-6446877.6299999999" maxValue="5883161.9800000004"/>
    </cacheField>
    <cacheField name="Mapping" numFmtId="0">
      <sharedItems containsBlank="1" count="24">
        <s v=""/>
        <s v="Maintenance and Util"/>
        <s v="Travel and Entertain"/>
        <s v="Vehicle Costs"/>
        <s v="Telecommunications"/>
        <s v="R&amp;D Materials &amp; Sub Contractors"/>
        <s v="Hardware / Software"/>
        <s v="Promotion and Advert"/>
        <s v="Audit &amp; SOX costs"/>
        <s v="Consultants &amp; Other"/>
        <s v="Capex not Capitalize"/>
        <s v="Intercompany Charges"/>
        <s v="Other Period Expense"/>
        <s v="Depreciation"/>
        <s v="Base Compensation"/>
        <s v="Social Costs / Benef"/>
        <s v="Other Personnel Expe"/>
        <s v="Bonus"/>
        <s v="Commissions / Other"/>
        <s v="Agent Commissions / Dealer Programs"/>
        <m/>
        <s v="Other Period Expense" u="1"/>
        <e v="#N/A" u="1"/>
        <s v="Agent Commissions / Dealer Programs" u="1"/>
      </sharedItems>
    </cacheField>
    <cacheField name="variance Amount" numFmtId="0" formula="'Actual JAN 2025'-'Prior Yr JAN 2024'" databaseField="0"/>
    <cacheField name="Variance %" numFmtId="0" formula="'variance Amount'/'Prior Yr JAN 2024'" databaseField="0"/>
    <cacheField name="% Dist" numFmtId="0" formula="'variance Amount'" databaseField="0"/>
    <cacheField name="% Distri" numFmtId="0" formula="'variance Amount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nthy Dipankar MT-GBSI" refreshedDate="45910.82739953704" createdVersion="8" refreshedVersion="8" minRefreshableVersion="3" recordCount="710" xr:uid="{9BF40287-3202-4AF7-ADAB-DE9D01718631}">
  <cacheSource type="worksheet">
    <worksheetSource ref="A1:H1048576" sheet="Sheet1"/>
  </cacheSource>
  <cacheFields count="12">
    <cacheField name="Company Code" numFmtId="0">
      <sharedItems containsBlank="1"/>
    </cacheField>
    <cacheField name="Profit Center" numFmtId="0">
      <sharedItems containsBlank="1"/>
    </cacheField>
    <cacheField name="Cost Element" numFmtId="0">
      <sharedItems containsBlank="1"/>
    </cacheField>
    <cacheField name="CE Name" numFmtId="0">
      <sharedItems containsBlank="1"/>
    </cacheField>
    <cacheField name="Functional area" numFmtId="0">
      <sharedItems containsBlank="1"/>
    </cacheField>
    <cacheField name="Actual JAN 2025" numFmtId="0">
      <sharedItems containsString="0" containsBlank="1" containsNumber="1" minValue="-7427688.8899999997" maxValue="6853813.3200000003"/>
    </cacheField>
    <cacheField name="Prior Yr JAN 2024" numFmtId="0">
      <sharedItems containsString="0" containsBlank="1" containsNumber="1" minValue="-6446877.6299999999" maxValue="5883161.9800000004"/>
    </cacheField>
    <cacheField name="Mapping" numFmtId="0">
      <sharedItems containsBlank="1" count="24">
        <s v=""/>
        <s v="Maintenance and Util"/>
        <s v="Travel and Entertain"/>
        <s v="Vehicle Costs"/>
        <s v="Telecommunications"/>
        <s v="R&amp;D Materials &amp; Sub Contractors"/>
        <s v="Hardware / Software"/>
        <s v="Promotion and Advert"/>
        <s v="Audit &amp; SOX costs"/>
        <s v="Consultants &amp; Other"/>
        <s v="Capex not Capitalize"/>
        <s v="Intercompany Charges"/>
        <s v="Other Period Expense"/>
        <s v="Depreciation"/>
        <s v="Base Compensation"/>
        <s v="Social Costs / Benef"/>
        <s v="Other Personnel Expe"/>
        <s v="Bonus"/>
        <s v="Commissions / Other"/>
        <s v="Agent Commissions / Dealer Programs"/>
        <m/>
        <s v="Other Period Expense" u="1"/>
        <e v="#N/A" u="1"/>
        <s v="Agent Commissions / Dealer Programs" u="1"/>
      </sharedItems>
    </cacheField>
    <cacheField name="variance Amount" numFmtId="0" formula="'Actual JAN 2025'-'Prior Yr JAN 2024'" databaseField="0"/>
    <cacheField name="Variance %" numFmtId="0" formula="'variance Amount'/'Prior Yr JAN 2024'" databaseField="0"/>
    <cacheField name="% Dist" numFmtId="0" formula="'variance Amount'" databaseField="0"/>
    <cacheField name="% Distri" numFmtId="0" formula="'variance Amount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2">
  <r>
    <s v="Mettler-Toledo, LLC - MTI"/>
    <s v="MTMO-US"/>
    <s v="TOP"/>
    <x v="0"/>
    <s v="Logistics&amp;Purch. Costs"/>
    <n v="0"/>
    <n v="101408.46"/>
    <x v="0"/>
  </r>
  <r>
    <s v="Mettler-Toledo, LLC - MTI"/>
    <s v="MTMO-US"/>
    <s v="TOP"/>
    <x v="0"/>
    <s v="Service"/>
    <n v="5568805.5199999996"/>
    <n v="5883161.9800000004"/>
    <x v="0"/>
  </r>
  <r>
    <s v="Mettler-Toledo, LLC - MTI"/>
    <s v="MTMO-US"/>
    <s v="TOP"/>
    <x v="0"/>
    <s v="Marketing"/>
    <n v="123953.46"/>
    <n v="5513403.75"/>
    <x v="0"/>
  </r>
  <r>
    <s v="Mettler-Toledo, LLC - MTI"/>
    <s v="MTMO-US"/>
    <s v="TOP"/>
    <x v="0"/>
    <s v="Promotion"/>
    <n v="0"/>
    <n v="99431.43"/>
    <x v="0"/>
  </r>
  <r>
    <s v="Mettler-Toledo, LLC - MTI"/>
    <s v="MTMO-US"/>
    <s v="TOP"/>
    <x v="0"/>
    <s v="General &amp; Admin"/>
    <n v="-84715.79"/>
    <n v="908120.09"/>
    <x v="0"/>
  </r>
  <r>
    <s v="Mettler-Toledo, LLC - MTI"/>
    <s v="MTMO-US"/>
    <s v="TOP_00"/>
    <x v="1"/>
    <s v="Logistics&amp;Purch. Costs"/>
    <n v="-11456.6"/>
    <n v="103990.79"/>
    <x v="0"/>
  </r>
  <r>
    <s v="Mettler-Toledo, LLC - MTI"/>
    <s v="MTMO-US"/>
    <s v="TOP_00"/>
    <x v="1"/>
    <s v="Service"/>
    <n v="5148238.7699999996"/>
    <n v="5665948.71"/>
    <x v="0"/>
  </r>
  <r>
    <s v="Mettler-Toledo, LLC - MTI"/>
    <s v="MTMO-US"/>
    <s v="TOP_00"/>
    <x v="1"/>
    <s v="Marketing"/>
    <n v="-1253672.8500000001"/>
    <n v="4488875.51"/>
    <x v="0"/>
  </r>
  <r>
    <s v="Mettler-Toledo, LLC - MTI"/>
    <s v="MTMO-US"/>
    <s v="TOP_00"/>
    <x v="1"/>
    <s v="Promotion"/>
    <n v="0"/>
    <n v="99431.43"/>
    <x v="0"/>
  </r>
  <r>
    <s v="Mettler-Toledo, LLC - MTI"/>
    <s v="MTMO-US"/>
    <s v="TOP_00"/>
    <x v="1"/>
    <s v="General &amp; Admin"/>
    <n v="-119623.54"/>
    <n v="895376.05"/>
    <x v="0"/>
  </r>
  <r>
    <s v="Mettler-Toledo, LLC - MTI"/>
    <s v="MTMO-US"/>
    <s v="7210100"/>
    <x v="2"/>
    <s v="Logistics&amp;Purch. Costs"/>
    <n v="2780.41"/>
    <m/>
    <x v="1"/>
  </r>
  <r>
    <s v="Mettler-Toledo, LLC - MTI"/>
    <s v="MTMO-US"/>
    <s v="7210100"/>
    <x v="2"/>
    <s v="Service"/>
    <n v="50616.63"/>
    <n v="23867.78"/>
    <x v="1"/>
  </r>
  <r>
    <s v="Mettler-Toledo, LLC - MTI"/>
    <s v="MTMO-US"/>
    <s v="7210100"/>
    <x v="2"/>
    <s v="Marketing"/>
    <n v="85371.63"/>
    <n v="90234.69"/>
    <x v="1"/>
  </r>
  <r>
    <s v="Mettler-Toledo, LLC - MTI"/>
    <s v="MTMO-US"/>
    <s v="7210100"/>
    <x v="2"/>
    <s v="General &amp; Admin"/>
    <m/>
    <m/>
    <x v="1"/>
  </r>
  <r>
    <s v="Mettler-Toledo, LLC - MTI"/>
    <s v="MTMO-US"/>
    <s v="7210110"/>
    <x v="3"/>
    <s v="General &amp; Admin"/>
    <m/>
    <m/>
    <x v="1"/>
  </r>
  <r>
    <s v="Mettler-Toledo, LLC - MTI"/>
    <s v="MTMO-US"/>
    <s v="7210111"/>
    <x v="4"/>
    <s v="Logistics&amp;Purch. Costs"/>
    <n v="-2871.71"/>
    <m/>
    <x v="1"/>
  </r>
  <r>
    <s v="Mettler-Toledo, LLC - MTI"/>
    <s v="MTMO-US"/>
    <s v="7210111"/>
    <x v="4"/>
    <s v="Service"/>
    <n v="-2426.86"/>
    <n v="3048.2"/>
    <x v="1"/>
  </r>
  <r>
    <s v="Mettler-Toledo, LLC - MTI"/>
    <s v="MTMO-US"/>
    <s v="7210111"/>
    <x v="4"/>
    <s v="Marketing"/>
    <n v="1836.22"/>
    <n v="332.95"/>
    <x v="1"/>
  </r>
  <r>
    <s v="Mettler-Toledo, LLC - MTI"/>
    <s v="MTMO-US"/>
    <s v="7210111"/>
    <x v="4"/>
    <s v="General &amp; Admin"/>
    <n v="77936.72"/>
    <n v="98177.04"/>
    <x v="1"/>
  </r>
  <r>
    <s v="Mettler-Toledo, LLC - MTI"/>
    <s v="MTMO-US"/>
    <s v="7210112"/>
    <x v="5"/>
    <s v="Service"/>
    <n v="1235.79"/>
    <n v="1035.57"/>
    <x v="1"/>
  </r>
  <r>
    <s v="Mettler-Toledo, LLC - MTI"/>
    <s v="MTMO-US"/>
    <s v="7210112"/>
    <x v="5"/>
    <s v="Marketing"/>
    <n v="94.3"/>
    <n v="79.33"/>
    <x v="1"/>
  </r>
  <r>
    <s v="Mettler-Toledo, LLC - MTI"/>
    <s v="MTMO-US"/>
    <s v="7210113"/>
    <x v="6"/>
    <s v="Service"/>
    <n v="101.29"/>
    <n v="126.35"/>
    <x v="1"/>
  </r>
  <r>
    <s v="Mettler-Toledo, LLC - MTI"/>
    <s v="MTMO-US"/>
    <s v="7210114"/>
    <x v="7"/>
    <s v="Service"/>
    <n v="104.74"/>
    <n v="172.52"/>
    <x v="1"/>
  </r>
  <r>
    <s v="Mettler-Toledo, LLC - MTI"/>
    <s v="MTMO-US"/>
    <s v="7210115"/>
    <x v="8"/>
    <s v="Service"/>
    <n v="690"/>
    <n v="294.14999999999998"/>
    <x v="1"/>
  </r>
  <r>
    <s v="Mettler-Toledo, LLC - MTI"/>
    <s v="MTMO-US"/>
    <s v="7210116"/>
    <x v="9"/>
    <s v="Service"/>
    <m/>
    <m/>
    <x v="1"/>
  </r>
  <r>
    <s v="Mettler-Toledo, LLC - MTI"/>
    <s v="MTMO-US"/>
    <s v="7210117"/>
    <x v="10"/>
    <s v="Service"/>
    <m/>
    <m/>
    <x v="1"/>
  </r>
  <r>
    <s v="Mettler-Toledo, LLC - MTI"/>
    <s v="MTMO-US"/>
    <s v="7210117"/>
    <x v="10"/>
    <s v="Marketing"/>
    <m/>
    <m/>
    <x v="1"/>
  </r>
  <r>
    <s v="Mettler-Toledo, LLC - MTI"/>
    <s v="MTMO-US"/>
    <s v="7210118"/>
    <x v="11"/>
    <s v="Service"/>
    <n v="4443.17"/>
    <n v="5556.77"/>
    <x v="1"/>
  </r>
  <r>
    <s v="Mettler-Toledo, LLC - MTI"/>
    <s v="MTMO-US"/>
    <s v="7210118"/>
    <x v="11"/>
    <s v="Marketing"/>
    <n v="1152.08"/>
    <n v="1289.45"/>
    <x v="1"/>
  </r>
  <r>
    <s v="Mettler-Toledo, LLC - MTI"/>
    <s v="MTMO-US"/>
    <s v="7210119"/>
    <x v="12"/>
    <s v="Service"/>
    <n v="15251.33"/>
    <n v="11886.71"/>
    <x v="1"/>
  </r>
  <r>
    <s v="Mettler-Toledo, LLC - MTI"/>
    <s v="MTMO-US"/>
    <s v="7210119"/>
    <x v="12"/>
    <s v="Marketing"/>
    <n v="2866.7"/>
    <n v="2898.72"/>
    <x v="1"/>
  </r>
  <r>
    <s v="Mettler-Toledo, LLC - MTI"/>
    <s v="MTMO-US"/>
    <s v="7210119"/>
    <x v="12"/>
    <s v="General &amp; Admin"/>
    <m/>
    <n v="90"/>
    <x v="1"/>
  </r>
  <r>
    <s v="Mettler-Toledo, LLC - MTI"/>
    <s v="MTMO-US"/>
    <s v="7210200"/>
    <x v="13"/>
    <s v="Service"/>
    <n v="3661.88"/>
    <n v="2540.5700000000002"/>
    <x v="1"/>
  </r>
  <r>
    <s v="Mettler-Toledo, LLC - MTI"/>
    <s v="MTMO-US"/>
    <s v="7210200"/>
    <x v="13"/>
    <s v="Marketing"/>
    <n v="524.84"/>
    <n v="1763.27"/>
    <x v="1"/>
  </r>
  <r>
    <s v="Mettler-Toledo, LLC - MTI"/>
    <s v="MTMO-US"/>
    <s v="7210200"/>
    <x v="13"/>
    <s v="General &amp; Admin"/>
    <n v="12024.4"/>
    <n v="9108.3799999999992"/>
    <x v="1"/>
  </r>
  <r>
    <s v="Mettler-Toledo, LLC - MTI"/>
    <s v="MTMO-US"/>
    <s v="7210410"/>
    <x v="14"/>
    <s v="Service"/>
    <n v="1793.86"/>
    <n v="4827.26"/>
    <x v="1"/>
  </r>
  <r>
    <s v="Mettler-Toledo, LLC - MTI"/>
    <s v="MTMO-US"/>
    <s v="7210410"/>
    <x v="14"/>
    <s v="Marketing"/>
    <n v="172.73"/>
    <n v="755.87"/>
    <x v="1"/>
  </r>
  <r>
    <s v="Mettler-Toledo, LLC - MTI"/>
    <s v="MTMO-US"/>
    <s v="7210420"/>
    <x v="15"/>
    <s v="Service"/>
    <n v="302.98"/>
    <n v="407.03"/>
    <x v="1"/>
  </r>
  <r>
    <s v="Mettler-Toledo, LLC - MTI"/>
    <s v="MTMO-US"/>
    <s v="7210420"/>
    <x v="15"/>
    <s v="Marketing"/>
    <n v="56.78"/>
    <n v="29.14"/>
    <x v="1"/>
  </r>
  <r>
    <s v="Mettler-Toledo, LLC - MTI"/>
    <s v="MTMO-US"/>
    <s v="7210430"/>
    <x v="16"/>
    <s v="Service"/>
    <n v="137.81"/>
    <n v="429.47"/>
    <x v="1"/>
  </r>
  <r>
    <s v="Mettler-Toledo, LLC - MTI"/>
    <s v="MTMO-US"/>
    <s v="7210430"/>
    <x v="16"/>
    <s v="Marketing"/>
    <m/>
    <m/>
    <x v="1"/>
  </r>
  <r>
    <s v="Mettler-Toledo, LLC - MTI"/>
    <s v="MTMO-US"/>
    <s v="7210490"/>
    <x v="17"/>
    <s v="Service"/>
    <n v="4593.09"/>
    <n v="2498.4899999999998"/>
    <x v="1"/>
  </r>
  <r>
    <s v="Mettler-Toledo, LLC - MTI"/>
    <s v="MTMO-US"/>
    <s v="7210490"/>
    <x v="17"/>
    <s v="Marketing"/>
    <n v="153"/>
    <n v="575.9"/>
    <x v="1"/>
  </r>
  <r>
    <s v="Mettler-Toledo, LLC - MTI"/>
    <s v="MTMO-US"/>
    <s v="7210490"/>
    <x v="17"/>
    <s v="General &amp; Admin"/>
    <m/>
    <m/>
    <x v="1"/>
  </r>
  <r>
    <s v="Mettler-Toledo, LLC - MTI"/>
    <s v="MTMO-US"/>
    <s v="7210500"/>
    <x v="18"/>
    <s v="Service"/>
    <m/>
    <n v="3838.47"/>
    <x v="1"/>
  </r>
  <r>
    <s v="Mettler-Toledo, LLC - MTI"/>
    <s v="MTMO-US"/>
    <s v="7210500"/>
    <x v="18"/>
    <s v="Marketing"/>
    <m/>
    <m/>
    <x v="1"/>
  </r>
  <r>
    <s v="Mettler-Toledo, LLC - MTI"/>
    <s v="MTMO-US"/>
    <s v="7210600"/>
    <x v="19"/>
    <s v="General &amp; Admin"/>
    <n v="6083.33"/>
    <n v="4987.92"/>
    <x v="1"/>
  </r>
  <r>
    <s v="Mettler-Toledo, LLC - MTI"/>
    <s v="MTMO-US"/>
    <s v="7220050"/>
    <x v="20"/>
    <s v="Logistics&amp;Purch. Costs"/>
    <n v="-1016.34"/>
    <n v="-114.04"/>
    <x v="2"/>
  </r>
  <r>
    <s v="Mettler-Toledo, LLC - MTI"/>
    <s v="MTMO-US"/>
    <s v="7220050"/>
    <x v="20"/>
    <s v="Service"/>
    <n v="94614.85"/>
    <n v="56684.07"/>
    <x v="2"/>
  </r>
  <r>
    <s v="Mettler-Toledo, LLC - MTI"/>
    <s v="MTMO-US"/>
    <s v="7220050"/>
    <x v="20"/>
    <s v="Marketing"/>
    <n v="80987.039999999994"/>
    <n v="58739.16"/>
    <x v="2"/>
  </r>
  <r>
    <s v="Mettler-Toledo, LLC - MTI"/>
    <s v="MTMO-US"/>
    <s v="7220050"/>
    <x v="20"/>
    <s v="Promotion"/>
    <m/>
    <m/>
    <x v="2"/>
  </r>
  <r>
    <s v="Mettler-Toledo, LLC - MTI"/>
    <s v="MTMO-US"/>
    <s v="7220050"/>
    <x v="20"/>
    <s v="General &amp; Admin"/>
    <n v="2945.16"/>
    <n v="-43917.16"/>
    <x v="2"/>
  </r>
  <r>
    <s v="Mettler-Toledo, LLC - MTI"/>
    <s v="MTMO-US"/>
    <s v="7220100"/>
    <x v="21"/>
    <s v="Logistics&amp;Purch. Costs"/>
    <n v="-912.71"/>
    <n v="-3886.16"/>
    <x v="2"/>
  </r>
  <r>
    <s v="Mettler-Toledo, LLC - MTI"/>
    <s v="MTMO-US"/>
    <s v="7220100"/>
    <x v="21"/>
    <s v="Service"/>
    <n v="178575.44"/>
    <n v="140674.9"/>
    <x v="2"/>
  </r>
  <r>
    <s v="Mettler-Toledo, LLC - MTI"/>
    <s v="MTMO-US"/>
    <s v="7220100"/>
    <x v="21"/>
    <s v="Marketing"/>
    <n v="106643.26"/>
    <n v="82613.08"/>
    <x v="2"/>
  </r>
  <r>
    <s v="Mettler-Toledo, LLC - MTI"/>
    <s v="MTMO-US"/>
    <s v="7220100"/>
    <x v="21"/>
    <s v="Promotion"/>
    <m/>
    <m/>
    <x v="2"/>
  </r>
  <r>
    <s v="Mettler-Toledo, LLC - MTI"/>
    <s v="MTMO-US"/>
    <s v="7220100"/>
    <x v="21"/>
    <s v="General &amp; Admin"/>
    <n v="8839.43"/>
    <n v="883.42"/>
    <x v="2"/>
  </r>
  <r>
    <s v="Mettler-Toledo, LLC - MTI"/>
    <s v="MTMO-US"/>
    <s v="7220150"/>
    <x v="22"/>
    <s v="Logistics&amp;Purch. Costs"/>
    <n v="2437.2800000000002"/>
    <n v="-2953.35"/>
    <x v="2"/>
  </r>
  <r>
    <s v="Mettler-Toledo, LLC - MTI"/>
    <s v="MTMO-US"/>
    <s v="7220150"/>
    <x v="22"/>
    <s v="Service"/>
    <n v="63335.95"/>
    <n v="45245.279999999999"/>
    <x v="2"/>
  </r>
  <r>
    <s v="Mettler-Toledo, LLC - MTI"/>
    <s v="MTMO-US"/>
    <s v="7220150"/>
    <x v="22"/>
    <s v="Marketing"/>
    <n v="98423.03"/>
    <n v="82656.88"/>
    <x v="2"/>
  </r>
  <r>
    <s v="Mettler-Toledo, LLC - MTI"/>
    <s v="MTMO-US"/>
    <s v="7220150"/>
    <x v="22"/>
    <s v="Promotion"/>
    <m/>
    <m/>
    <x v="2"/>
  </r>
  <r>
    <s v="Mettler-Toledo, LLC - MTI"/>
    <s v="MTMO-US"/>
    <s v="7220150"/>
    <x v="22"/>
    <s v="General &amp; Admin"/>
    <n v="4388.09"/>
    <n v="529.91999999999996"/>
    <x v="2"/>
  </r>
  <r>
    <s v="Mettler-Toledo, LLC - MTI"/>
    <s v="MTMO-US"/>
    <s v="7220250"/>
    <x v="23"/>
    <s v="Logistics&amp;Purch. Costs"/>
    <n v="20.27"/>
    <n v="-9.7799999999999994"/>
    <x v="2"/>
  </r>
  <r>
    <s v="Mettler-Toledo, LLC - MTI"/>
    <s v="MTMO-US"/>
    <s v="7220250"/>
    <x v="23"/>
    <s v="Service"/>
    <n v="11503.21"/>
    <n v="14244.06"/>
    <x v="2"/>
  </r>
  <r>
    <s v="Mettler-Toledo, LLC - MTI"/>
    <s v="MTMO-US"/>
    <s v="7220250"/>
    <x v="23"/>
    <s v="Marketing"/>
    <n v="17610.689999999999"/>
    <n v="13058.08"/>
    <x v="2"/>
  </r>
  <r>
    <s v="Mettler-Toledo, LLC - MTI"/>
    <s v="MTMO-US"/>
    <s v="7220250"/>
    <x v="23"/>
    <s v="Promotion"/>
    <m/>
    <m/>
    <x v="2"/>
  </r>
  <r>
    <s v="Mettler-Toledo, LLC - MTI"/>
    <s v="MTMO-US"/>
    <s v="7220250"/>
    <x v="23"/>
    <s v="General &amp; Admin"/>
    <n v="224.42"/>
    <n v="323"/>
    <x v="2"/>
  </r>
  <r>
    <s v="Mettler-Toledo, LLC - MTI"/>
    <s v="MTMO-US"/>
    <s v="7220300"/>
    <x v="24"/>
    <s v="Logistics&amp;Purch. Costs"/>
    <n v="268.45999999999998"/>
    <n v="353.08"/>
    <x v="2"/>
  </r>
  <r>
    <s v="Mettler-Toledo, LLC - MTI"/>
    <s v="MTMO-US"/>
    <s v="7220300"/>
    <x v="24"/>
    <s v="Service"/>
    <n v="13862.97"/>
    <n v="16251.28"/>
    <x v="2"/>
  </r>
  <r>
    <s v="Mettler-Toledo, LLC - MTI"/>
    <s v="MTMO-US"/>
    <s v="7220300"/>
    <x v="24"/>
    <s v="Marketing"/>
    <n v="9265.5300000000007"/>
    <n v="14959.72"/>
    <x v="2"/>
  </r>
  <r>
    <s v="Mettler-Toledo, LLC - MTI"/>
    <s v="MTMO-US"/>
    <s v="7220300"/>
    <x v="24"/>
    <s v="General &amp; Admin"/>
    <n v="0"/>
    <n v="0"/>
    <x v="2"/>
  </r>
  <r>
    <s v="Mettler-Toledo, LLC - MTI"/>
    <s v="MTMO-US"/>
    <s v="7220350"/>
    <x v="25"/>
    <s v="Logistics&amp;Purch. Costs"/>
    <m/>
    <m/>
    <x v="2"/>
  </r>
  <r>
    <s v="Mettler-Toledo, LLC - MTI"/>
    <s v="MTMO-US"/>
    <s v="7220350"/>
    <x v="25"/>
    <s v="Service"/>
    <n v="707.7"/>
    <n v="115.24"/>
    <x v="2"/>
  </r>
  <r>
    <s v="Mettler-Toledo, LLC - MTI"/>
    <s v="MTMO-US"/>
    <s v="7220350"/>
    <x v="25"/>
    <s v="Marketing"/>
    <n v="1201.2"/>
    <n v="3687.68"/>
    <x v="2"/>
  </r>
  <r>
    <s v="Mettler-Toledo, LLC - MTI"/>
    <s v="MTMO-US"/>
    <s v="7220350"/>
    <x v="25"/>
    <s v="General &amp; Admin"/>
    <m/>
    <m/>
    <x v="2"/>
  </r>
  <r>
    <s v="Mettler-Toledo, LLC - MTI"/>
    <s v="MTMO-US"/>
    <s v="7220800"/>
    <x v="26"/>
    <s v="Logistics&amp;Purch. Costs"/>
    <m/>
    <m/>
    <x v="2"/>
  </r>
  <r>
    <s v="Mettler-Toledo, LLC - MTI"/>
    <s v="MTMO-US"/>
    <s v="7220800"/>
    <x v="26"/>
    <s v="Service"/>
    <n v="3138.34"/>
    <n v="328.58"/>
    <x v="2"/>
  </r>
  <r>
    <s v="Mettler-Toledo, LLC - MTI"/>
    <s v="MTMO-US"/>
    <s v="7220800"/>
    <x v="26"/>
    <s v="Marketing"/>
    <n v="33063.49"/>
    <n v="21371.8"/>
    <x v="2"/>
  </r>
  <r>
    <s v="Mettler-Toledo, LLC - MTI"/>
    <s v="MTMO-US"/>
    <s v="7220800"/>
    <x v="26"/>
    <s v="General &amp; Admin"/>
    <m/>
    <n v="2500"/>
    <x v="2"/>
  </r>
  <r>
    <s v="Mettler-Toledo, LLC - MTI"/>
    <s v="MTMO-US"/>
    <s v="7220900"/>
    <x v="27"/>
    <s v="Logistics&amp;Purch. Costs"/>
    <n v="-790.47"/>
    <n v="-38.4"/>
    <x v="2"/>
  </r>
  <r>
    <s v="Mettler-Toledo, LLC - MTI"/>
    <s v="MTMO-US"/>
    <s v="7220900"/>
    <x v="27"/>
    <s v="Service"/>
    <n v="2036.07"/>
    <n v="1612.11"/>
    <x v="2"/>
  </r>
  <r>
    <s v="Mettler-Toledo, LLC - MTI"/>
    <s v="MTMO-US"/>
    <s v="7220900"/>
    <x v="27"/>
    <s v="Marketing"/>
    <n v="-10894.9"/>
    <n v="-3897.99"/>
    <x v="2"/>
  </r>
  <r>
    <s v="Mettler-Toledo, LLC - MTI"/>
    <s v="MTMO-US"/>
    <s v="7220900"/>
    <x v="27"/>
    <s v="General &amp; Admin"/>
    <n v="1327.84"/>
    <n v="33.94"/>
    <x v="2"/>
  </r>
  <r>
    <s v="Mettler-Toledo, LLC - MTI"/>
    <s v="MTMO-US"/>
    <s v="7230050"/>
    <x v="28"/>
    <s v="Logistics&amp;Purch. Costs"/>
    <m/>
    <m/>
    <x v="3"/>
  </r>
  <r>
    <s v="Mettler-Toledo, LLC - MTI"/>
    <s v="MTMO-US"/>
    <s v="7230050"/>
    <x v="28"/>
    <s v="Service"/>
    <n v="153208.47"/>
    <n v="54605.120000000003"/>
    <x v="3"/>
  </r>
  <r>
    <s v="Mettler-Toledo, LLC - MTI"/>
    <s v="MTMO-US"/>
    <s v="7230050"/>
    <x v="28"/>
    <s v="Marketing"/>
    <n v="67628.66"/>
    <n v="27698.75"/>
    <x v="3"/>
  </r>
  <r>
    <s v="Mettler-Toledo, LLC - MTI"/>
    <s v="MTMO-US"/>
    <s v="7230050"/>
    <x v="28"/>
    <s v="General &amp; Admin"/>
    <n v="64243.81"/>
    <n v="23315.32"/>
    <x v="3"/>
  </r>
  <r>
    <s v="Mettler-Toledo, LLC - MTI"/>
    <s v="MTMO-US"/>
    <s v="7230055"/>
    <x v="29"/>
    <s v="Logistics&amp;Purch. Costs"/>
    <n v="558.37"/>
    <n v="464.97"/>
    <x v="0"/>
  </r>
  <r>
    <s v="Mettler-Toledo, LLC - MTI"/>
    <s v="MTMO-US"/>
    <s v="7230055"/>
    <x v="29"/>
    <s v="Service"/>
    <n v="283809.99"/>
    <n v="259493.08"/>
    <x v="0"/>
  </r>
  <r>
    <s v="Mettler-Toledo, LLC - MTI"/>
    <s v="MTMO-US"/>
    <s v="7230055"/>
    <x v="29"/>
    <s v="Marketing"/>
    <n v="65952.02"/>
    <n v="81391.520000000004"/>
    <x v="0"/>
  </r>
  <r>
    <s v="Mettler-Toledo, LLC - MTI"/>
    <s v="MTMO-US"/>
    <s v="7230055"/>
    <x v="29"/>
    <s v="General &amp; Admin"/>
    <n v="-13433.13"/>
    <n v="99833.91"/>
    <x v="0"/>
  </r>
  <r>
    <s v="Mettler-Toledo, LLC - MTI"/>
    <s v="MTMO-US"/>
    <s v="7230060"/>
    <x v="30"/>
    <s v="Service"/>
    <n v="18826.03"/>
    <m/>
    <x v="3"/>
  </r>
  <r>
    <s v="Mettler-Toledo, LLC - MTI"/>
    <s v="MTMO-US"/>
    <s v="7230060"/>
    <x v="30"/>
    <s v="Marketing"/>
    <n v="7097.22"/>
    <m/>
    <x v="3"/>
  </r>
  <r>
    <s v="Mettler-Toledo, LLC - MTI"/>
    <s v="MTMO-US"/>
    <s v="7230060"/>
    <x v="30"/>
    <s v="General &amp; Admin"/>
    <n v="9534.33"/>
    <m/>
    <x v="3"/>
  </r>
  <r>
    <s v="Mettler-Toledo, LLC - MTI"/>
    <s v="MTMO-US"/>
    <s v="7230100"/>
    <x v="31"/>
    <s v="Logistics&amp;Purch. Costs"/>
    <n v="0"/>
    <n v="44.78"/>
    <x v="3"/>
  </r>
  <r>
    <s v="Mettler-Toledo, LLC - MTI"/>
    <s v="MTMO-US"/>
    <s v="7230100"/>
    <x v="31"/>
    <s v="Service"/>
    <n v="193529.52"/>
    <n v="236041.27"/>
    <x v="3"/>
  </r>
  <r>
    <s v="Mettler-Toledo, LLC - MTI"/>
    <s v="MTMO-US"/>
    <s v="7230100"/>
    <x v="31"/>
    <s v="Marketing"/>
    <n v="28334.59"/>
    <n v="32852.6"/>
    <x v="3"/>
  </r>
  <r>
    <s v="Mettler-Toledo, LLC - MTI"/>
    <s v="MTMO-US"/>
    <s v="7230100"/>
    <x v="31"/>
    <s v="General &amp; Admin"/>
    <n v="58520.82"/>
    <n v="69774.3"/>
    <x v="3"/>
  </r>
  <r>
    <s v="Mettler-Toledo, LLC - MTI"/>
    <s v="MTMO-US"/>
    <s v="7230150"/>
    <x v="32"/>
    <s v="Logistics&amp;Purch. Costs"/>
    <n v="162.88"/>
    <n v="143.86000000000001"/>
    <x v="3"/>
  </r>
  <r>
    <s v="Mettler-Toledo, LLC - MTI"/>
    <s v="MTMO-US"/>
    <s v="7230150"/>
    <x v="32"/>
    <s v="Service"/>
    <n v="96751.17"/>
    <n v="83010.039999999994"/>
    <x v="3"/>
  </r>
  <r>
    <s v="Mettler-Toledo, LLC - MTI"/>
    <s v="MTMO-US"/>
    <s v="7230150"/>
    <x v="32"/>
    <s v="Marketing"/>
    <n v="31110.2"/>
    <n v="26327.02"/>
    <x v="3"/>
  </r>
  <r>
    <s v="Mettler-Toledo, LLC - MTI"/>
    <s v="MTMO-US"/>
    <s v="7230150"/>
    <x v="32"/>
    <s v="General &amp; Admin"/>
    <m/>
    <n v="143.86000000000001"/>
    <x v="3"/>
  </r>
  <r>
    <s v="Mettler-Toledo, LLC - MTI"/>
    <s v="MTMO-US"/>
    <s v="7230200"/>
    <x v="33"/>
    <s v="Logistics&amp;Purch. Costs"/>
    <n v="-39.93"/>
    <n v="-231.33"/>
    <x v="3"/>
  </r>
  <r>
    <s v="Mettler-Toledo, LLC - MTI"/>
    <s v="MTMO-US"/>
    <s v="7230200"/>
    <x v="33"/>
    <s v="Service"/>
    <n v="198532.53"/>
    <n v="231827.39"/>
    <x v="3"/>
  </r>
  <r>
    <s v="Mettler-Toledo, LLC - MTI"/>
    <s v="MTMO-US"/>
    <s v="7230200"/>
    <x v="33"/>
    <s v="Marketing"/>
    <n v="35559.040000000001"/>
    <n v="5759.44"/>
    <x v="3"/>
  </r>
  <r>
    <s v="Mettler-Toledo, LLC - MTI"/>
    <s v="MTMO-US"/>
    <s v="7230200"/>
    <x v="33"/>
    <s v="General &amp; Admin"/>
    <n v="48908.92"/>
    <n v="37794.82"/>
    <x v="3"/>
  </r>
  <r>
    <s v="Mettler-Toledo, LLC - MTI"/>
    <s v="MTMO-US"/>
    <s v="7230250"/>
    <x v="34"/>
    <s v="Logistics&amp;Purch. Costs"/>
    <n v="1.5"/>
    <n v="234"/>
    <x v="3"/>
  </r>
  <r>
    <s v="Mettler-Toledo, LLC - MTI"/>
    <s v="MTMO-US"/>
    <s v="7230250"/>
    <x v="34"/>
    <s v="Service"/>
    <n v="139527.34"/>
    <n v="59158.2"/>
    <x v="3"/>
  </r>
  <r>
    <s v="Mettler-Toledo, LLC - MTI"/>
    <s v="MTMO-US"/>
    <s v="7230250"/>
    <x v="34"/>
    <s v="Marketing"/>
    <n v="14781.39"/>
    <n v="-39060.160000000003"/>
    <x v="3"/>
  </r>
  <r>
    <s v="Mettler-Toledo, LLC - MTI"/>
    <s v="MTMO-US"/>
    <s v="7230250"/>
    <x v="34"/>
    <s v="General &amp; Admin"/>
    <n v="-211173.06"/>
    <n v="-67681.320000000007"/>
    <x v="3"/>
  </r>
  <r>
    <s v="Mettler-Toledo, LLC - MTI"/>
    <s v="MTMO-US"/>
    <s v="7240050"/>
    <x v="35"/>
    <s v="Service"/>
    <n v="494.34"/>
    <m/>
    <x v="4"/>
  </r>
  <r>
    <s v="Mettler-Toledo, LLC - MTI"/>
    <s v="MTMO-US"/>
    <s v="7240100"/>
    <x v="36"/>
    <s v="Logistics&amp;Purch. Costs"/>
    <n v="570.71"/>
    <n v="523.51"/>
    <x v="4"/>
  </r>
  <r>
    <s v="Mettler-Toledo, LLC - MTI"/>
    <s v="MTMO-US"/>
    <s v="7240100"/>
    <x v="36"/>
    <s v="Service"/>
    <n v="32303.53"/>
    <n v="31263.9"/>
    <x v="4"/>
  </r>
  <r>
    <s v="Mettler-Toledo, LLC - MTI"/>
    <s v="MTMO-US"/>
    <s v="7240100"/>
    <x v="36"/>
    <s v="Marketing"/>
    <n v="18646.169999999998"/>
    <n v="16426.919999999998"/>
    <x v="4"/>
  </r>
  <r>
    <s v="Mettler-Toledo, LLC - MTI"/>
    <s v="MTMO-US"/>
    <s v="7240100"/>
    <x v="36"/>
    <s v="General &amp; Admin"/>
    <n v="1266.51"/>
    <n v="1062.25"/>
    <x v="4"/>
  </r>
  <r>
    <s v="Mettler-Toledo, LLC - MTI"/>
    <s v="MTMO-US"/>
    <s v="7240150"/>
    <x v="37"/>
    <s v="Logistics&amp;Purch. Costs"/>
    <m/>
    <m/>
    <x v="4"/>
  </r>
  <r>
    <s v="Mettler-Toledo, LLC - MTI"/>
    <s v="MTMO-US"/>
    <s v="7240150"/>
    <x v="37"/>
    <s v="Service"/>
    <n v="3424.73"/>
    <n v="6573.61"/>
    <x v="4"/>
  </r>
  <r>
    <s v="Mettler-Toledo, LLC - MTI"/>
    <s v="MTMO-US"/>
    <s v="7240150"/>
    <x v="37"/>
    <s v="Marketing"/>
    <n v="6375.34"/>
    <n v="14715.27"/>
    <x v="4"/>
  </r>
  <r>
    <s v="Mettler-Toledo, LLC - MTI"/>
    <s v="MTMO-US"/>
    <s v="7240150"/>
    <x v="37"/>
    <s v="General &amp; Admin"/>
    <n v="21533.29"/>
    <n v="13735.27"/>
    <x v="4"/>
  </r>
  <r>
    <s v="Mettler-Toledo, LLC - MTI"/>
    <s v="MTMO-US"/>
    <s v="7240200"/>
    <x v="38"/>
    <s v="Service"/>
    <n v="961.04"/>
    <m/>
    <x v="4"/>
  </r>
  <r>
    <s v="Mettler-Toledo, LLC - MTI"/>
    <s v="MTMO-US"/>
    <s v="7250050"/>
    <x v="39"/>
    <s v="Service"/>
    <m/>
    <m/>
    <x v="5"/>
  </r>
  <r>
    <s v="Mettler-Toledo, LLC - MTI"/>
    <s v="MTMO-US"/>
    <s v="7250050"/>
    <x v="39"/>
    <s v="Marketing"/>
    <m/>
    <m/>
    <x v="5"/>
  </r>
  <r>
    <s v="Mettler-Toledo, LLC - MTI"/>
    <s v="MTMO-US"/>
    <s v="7260050"/>
    <x v="40"/>
    <s v="Logistics&amp;Purch. Costs"/>
    <n v="473.03"/>
    <n v="34.22"/>
    <x v="6"/>
  </r>
  <r>
    <s v="Mettler-Toledo, LLC - MTI"/>
    <s v="MTMO-US"/>
    <s v="7260050"/>
    <x v="40"/>
    <s v="Service"/>
    <n v="3892.86"/>
    <n v="674.64"/>
    <x v="6"/>
  </r>
  <r>
    <s v="Mettler-Toledo, LLC - MTI"/>
    <s v="MTMO-US"/>
    <s v="7260050"/>
    <x v="40"/>
    <s v="Marketing"/>
    <n v="27652.6"/>
    <n v="5353.19"/>
    <x v="6"/>
  </r>
  <r>
    <s v="Mettler-Toledo, LLC - MTI"/>
    <s v="MTMO-US"/>
    <s v="7260050"/>
    <x v="40"/>
    <s v="General &amp; Admin"/>
    <n v="9643.58"/>
    <n v="9286.8700000000008"/>
    <x v="6"/>
  </r>
  <r>
    <s v="Mettler-Toledo, LLC - MTI"/>
    <s v="MTMO-US"/>
    <s v="7260100"/>
    <x v="41"/>
    <s v="Logistics&amp;Purch. Costs"/>
    <n v="0"/>
    <m/>
    <x v="6"/>
  </r>
  <r>
    <s v="Mettler-Toledo, LLC - MTI"/>
    <s v="MTMO-US"/>
    <s v="7260100"/>
    <x v="41"/>
    <s v="Service"/>
    <n v="-51.13"/>
    <n v="98.57"/>
    <x v="6"/>
  </r>
  <r>
    <s v="Mettler-Toledo, LLC - MTI"/>
    <s v="MTMO-US"/>
    <s v="7260100"/>
    <x v="41"/>
    <s v="Marketing"/>
    <n v="204.21"/>
    <m/>
    <x v="6"/>
  </r>
  <r>
    <s v="Mettler-Toledo, LLC - MTI"/>
    <s v="MTMO-US"/>
    <s v="7260100"/>
    <x v="41"/>
    <s v="General &amp; Admin"/>
    <m/>
    <m/>
    <x v="6"/>
  </r>
  <r>
    <s v="Mettler-Toledo, LLC - MTI"/>
    <s v="MTMO-US"/>
    <s v="7270050"/>
    <x v="42"/>
    <s v="Service"/>
    <m/>
    <m/>
    <x v="7"/>
  </r>
  <r>
    <s v="Mettler-Toledo, LLC - MTI"/>
    <s v="MTMO-US"/>
    <s v="7270050"/>
    <x v="42"/>
    <s v="Marketing"/>
    <m/>
    <m/>
    <x v="7"/>
  </r>
  <r>
    <s v="Mettler-Toledo, LLC - MTI"/>
    <s v="MTMO-US"/>
    <s v="7270050"/>
    <x v="42"/>
    <s v="Promotion"/>
    <m/>
    <n v="0"/>
    <x v="7"/>
  </r>
  <r>
    <s v="Mettler-Toledo, LLC - MTI"/>
    <s v="MTMO-US"/>
    <s v="7270100"/>
    <x v="43"/>
    <s v="Service"/>
    <n v="251.55"/>
    <n v="7.58"/>
    <x v="7"/>
  </r>
  <r>
    <s v="Mettler-Toledo, LLC - MTI"/>
    <s v="MTMO-US"/>
    <s v="7270100"/>
    <x v="43"/>
    <s v="Marketing"/>
    <n v="5320.31"/>
    <n v="12566.53"/>
    <x v="7"/>
  </r>
  <r>
    <s v="Mettler-Toledo, LLC - MTI"/>
    <s v="MTMO-US"/>
    <s v="7270100"/>
    <x v="43"/>
    <s v="Promotion"/>
    <n v="43750"/>
    <n v="71908.34"/>
    <x v="7"/>
  </r>
  <r>
    <s v="Mettler-Toledo, LLC - MTI"/>
    <s v="MTMO-US"/>
    <s v="7270100"/>
    <x v="43"/>
    <s v="General &amp; Admin"/>
    <m/>
    <m/>
    <x v="7"/>
  </r>
  <r>
    <s v="Mettler-Toledo, LLC - MTI"/>
    <s v="MTMO-US"/>
    <s v="7270150"/>
    <x v="44"/>
    <s v="Service"/>
    <n v="1066.32"/>
    <m/>
    <x v="7"/>
  </r>
  <r>
    <s v="Mettler-Toledo, LLC - MTI"/>
    <s v="MTMO-US"/>
    <s v="7270150"/>
    <x v="44"/>
    <s v="Marketing"/>
    <n v="4000.19"/>
    <n v="334.32"/>
    <x v="7"/>
  </r>
  <r>
    <s v="Mettler-Toledo, LLC - MTI"/>
    <s v="MTMO-US"/>
    <s v="7270150"/>
    <x v="44"/>
    <s v="Promotion"/>
    <n v="1562.5"/>
    <n v="-2365"/>
    <x v="7"/>
  </r>
  <r>
    <s v="Mettler-Toledo, LLC - MTI"/>
    <s v="MTMO-US"/>
    <s v="7270150"/>
    <x v="44"/>
    <s v="General &amp; Admin"/>
    <m/>
    <m/>
    <x v="7"/>
  </r>
  <r>
    <s v="Mettler-Toledo, LLC - MTI"/>
    <s v="MTMO-US"/>
    <s v="7270200"/>
    <x v="45"/>
    <s v="Marketing"/>
    <m/>
    <n v="0"/>
    <x v="7"/>
  </r>
  <r>
    <s v="Mettler-Toledo, LLC - MTI"/>
    <s v="MTMO-US"/>
    <s v="7270300"/>
    <x v="46"/>
    <s v="Marketing"/>
    <m/>
    <n v="24.59"/>
    <x v="7"/>
  </r>
  <r>
    <s v="Mettler-Toledo, LLC - MTI"/>
    <s v="MTMO-US"/>
    <s v="7270350"/>
    <x v="47"/>
    <s v="Marketing"/>
    <n v="483.56"/>
    <n v="-154.56"/>
    <x v="7"/>
  </r>
  <r>
    <s v="Mettler-Toledo, LLC - MTI"/>
    <s v="MTMO-US"/>
    <s v="7270350"/>
    <x v="47"/>
    <s v="Promotion"/>
    <n v="22298.5"/>
    <n v="27387.09"/>
    <x v="7"/>
  </r>
  <r>
    <s v="Mettler-Toledo, LLC - MTI"/>
    <s v="MTMO-US"/>
    <s v="7270400"/>
    <x v="48"/>
    <s v="Marketing"/>
    <m/>
    <n v="7.35"/>
    <x v="7"/>
  </r>
  <r>
    <s v="Mettler-Toledo, LLC - MTI"/>
    <s v="MTMO-US"/>
    <s v="7270450"/>
    <x v="49"/>
    <s v="Service"/>
    <m/>
    <m/>
    <x v="7"/>
  </r>
  <r>
    <s v="Mettler-Toledo, LLC - MTI"/>
    <s v="MTMO-US"/>
    <s v="7270450"/>
    <x v="49"/>
    <s v="Marketing"/>
    <n v="21012.37"/>
    <n v="43508.83"/>
    <x v="7"/>
  </r>
  <r>
    <s v="Mettler-Toledo, LLC - MTI"/>
    <s v="MTMO-US"/>
    <s v="7270450"/>
    <x v="49"/>
    <s v="Promotion"/>
    <n v="71949.34"/>
    <n v="2365"/>
    <x v="7"/>
  </r>
  <r>
    <s v="Mettler-Toledo, LLC - MTI"/>
    <s v="MTMO-US"/>
    <s v="7270500"/>
    <x v="50"/>
    <s v="Service"/>
    <n v="978.79"/>
    <m/>
    <x v="7"/>
  </r>
  <r>
    <s v="Mettler-Toledo, LLC - MTI"/>
    <s v="MTMO-US"/>
    <s v="7270500"/>
    <x v="50"/>
    <s v="Marketing"/>
    <n v="1179.3"/>
    <n v="1245.44"/>
    <x v="7"/>
  </r>
  <r>
    <s v="Mettler-Toledo, LLC - MTI"/>
    <s v="MTMO-US"/>
    <s v="7270500"/>
    <x v="50"/>
    <s v="Promotion"/>
    <m/>
    <n v="0"/>
    <x v="7"/>
  </r>
  <r>
    <s v="Mettler-Toledo, LLC - MTI"/>
    <s v="MTMO-US"/>
    <s v="7270500"/>
    <x v="50"/>
    <s v="General &amp; Admin"/>
    <m/>
    <m/>
    <x v="7"/>
  </r>
  <r>
    <s v="Mettler-Toledo, LLC - MTI"/>
    <s v="MTMO-US"/>
    <s v="7270550"/>
    <x v="51"/>
    <s v="Service"/>
    <n v="66.17"/>
    <n v="-24.5"/>
    <x v="7"/>
  </r>
  <r>
    <s v="Mettler-Toledo, LLC - MTI"/>
    <s v="MTMO-US"/>
    <s v="7270550"/>
    <x v="51"/>
    <s v="Marketing"/>
    <n v="-1242.01"/>
    <n v="49.54"/>
    <x v="7"/>
  </r>
  <r>
    <s v="Mettler-Toledo, LLC - MTI"/>
    <s v="MTMO-US"/>
    <s v="7270550"/>
    <x v="51"/>
    <s v="General &amp; Admin"/>
    <m/>
    <m/>
    <x v="7"/>
  </r>
  <r>
    <s v="Mettler-Toledo, LLC - MTI"/>
    <s v="MTMO-US"/>
    <s v="7270800"/>
    <x v="52"/>
    <s v="Marketing"/>
    <m/>
    <n v="0"/>
    <x v="7"/>
  </r>
  <r>
    <s v="Mettler-Toledo, LLC - MTI"/>
    <s v="MTMO-US"/>
    <s v="7270900"/>
    <x v="53"/>
    <s v="Service"/>
    <m/>
    <m/>
    <x v="7"/>
  </r>
  <r>
    <s v="Mettler-Toledo, LLC - MTI"/>
    <s v="MTMO-US"/>
    <s v="7270900"/>
    <x v="53"/>
    <s v="Marketing"/>
    <n v="183.1"/>
    <n v="-295.27"/>
    <x v="7"/>
  </r>
  <r>
    <s v="Mettler-Toledo, LLC - MTI"/>
    <s v="MTMO-US"/>
    <s v="7270900"/>
    <x v="53"/>
    <s v="Promotion"/>
    <m/>
    <m/>
    <x v="7"/>
  </r>
  <r>
    <s v="Mettler-Toledo, LLC - MTI"/>
    <s v="MTMO-US"/>
    <s v="7270900"/>
    <x v="53"/>
    <s v="General &amp; Admin"/>
    <n v="-183.1"/>
    <m/>
    <x v="7"/>
  </r>
  <r>
    <s v="Mettler-Toledo, LLC - MTI"/>
    <s v="MTMO-US"/>
    <s v="7280100"/>
    <x v="54"/>
    <s v="Logistics&amp;Purch. Costs"/>
    <m/>
    <m/>
    <x v="8"/>
  </r>
  <r>
    <s v="Mettler-Toledo, LLC - MTI"/>
    <s v="MTMO-US"/>
    <s v="7280100"/>
    <x v="54"/>
    <s v="General &amp; Admin"/>
    <n v="22363.58"/>
    <n v="21920.83"/>
    <x v="8"/>
  </r>
  <r>
    <s v="Mettler-Toledo, LLC - MTI"/>
    <s v="MTMO-US"/>
    <s v="7280900"/>
    <x v="55"/>
    <s v="Service"/>
    <m/>
    <m/>
    <x v="8"/>
  </r>
  <r>
    <s v="Mettler-Toledo, LLC - MTI"/>
    <s v="MTMO-US"/>
    <s v="7290050"/>
    <x v="56"/>
    <s v="Service"/>
    <m/>
    <m/>
    <x v="9"/>
  </r>
  <r>
    <s v="Mettler-Toledo, LLC - MTI"/>
    <s v="MTMO-US"/>
    <s v="7290050"/>
    <x v="56"/>
    <s v="Marketing"/>
    <m/>
    <m/>
    <x v="9"/>
  </r>
  <r>
    <s v="Mettler-Toledo, LLC - MTI"/>
    <s v="MTMO-US"/>
    <s v="7290100"/>
    <x v="57"/>
    <s v="Service"/>
    <n v="28298"/>
    <n v="10797"/>
    <x v="9"/>
  </r>
  <r>
    <s v="Mettler-Toledo, LLC - MTI"/>
    <s v="MTMO-US"/>
    <s v="7290100"/>
    <x v="57"/>
    <s v="Marketing"/>
    <n v="14826.45"/>
    <n v="11307.77"/>
    <x v="9"/>
  </r>
  <r>
    <s v="Mettler-Toledo, LLC - MTI"/>
    <s v="MTMO-US"/>
    <s v="7290100"/>
    <x v="57"/>
    <s v="General &amp; Admin"/>
    <n v="7574.5"/>
    <n v="7474.5"/>
    <x v="9"/>
  </r>
  <r>
    <s v="Mettler-Toledo, LLC - MTI"/>
    <s v="MTMO-US"/>
    <s v="7290150"/>
    <x v="58"/>
    <s v="Service"/>
    <n v="839.18"/>
    <m/>
    <x v="9"/>
  </r>
  <r>
    <s v="Mettler-Toledo, LLC - MTI"/>
    <s v="MTMO-US"/>
    <s v="7290150"/>
    <x v="58"/>
    <s v="Marketing"/>
    <n v="0"/>
    <n v="260.99"/>
    <x v="9"/>
  </r>
  <r>
    <s v="Mettler-Toledo, LLC - MTI"/>
    <s v="MTMO-US"/>
    <s v="7290150"/>
    <x v="58"/>
    <s v="General &amp; Admin"/>
    <m/>
    <m/>
    <x v="9"/>
  </r>
  <r>
    <s v="Mettler-Toledo, LLC - MTI"/>
    <s v="MTMO-US"/>
    <s v="7290250"/>
    <x v="59"/>
    <s v="Logistics&amp;Purch. Costs"/>
    <m/>
    <m/>
    <x v="9"/>
  </r>
  <r>
    <s v="Mettler-Toledo, LLC - MTI"/>
    <s v="MTMO-US"/>
    <s v="7290250"/>
    <x v="59"/>
    <s v="Service"/>
    <n v="3603.91"/>
    <n v="14962.75"/>
    <x v="9"/>
  </r>
  <r>
    <s v="Mettler-Toledo, LLC - MTI"/>
    <s v="MTMO-US"/>
    <s v="7290250"/>
    <x v="59"/>
    <s v="Marketing"/>
    <m/>
    <n v="268.38"/>
    <x v="9"/>
  </r>
  <r>
    <s v="Mettler-Toledo, LLC - MTI"/>
    <s v="MTMO-US"/>
    <s v="7290300"/>
    <x v="60"/>
    <s v="Marketing"/>
    <m/>
    <m/>
    <x v="9"/>
  </r>
  <r>
    <s v="Mettler-Toledo, LLC - MTI"/>
    <s v="MTMO-US"/>
    <s v="7290400"/>
    <x v="61"/>
    <s v="Logistics&amp;Purch. Costs"/>
    <m/>
    <m/>
    <x v="9"/>
  </r>
  <r>
    <s v="Mettler-Toledo, LLC - MTI"/>
    <s v="MTMO-US"/>
    <s v="7290400"/>
    <x v="61"/>
    <s v="Service"/>
    <n v="4587.58"/>
    <n v="1011.37"/>
    <x v="9"/>
  </r>
  <r>
    <s v="Mettler-Toledo, LLC - MTI"/>
    <s v="MTMO-US"/>
    <s v="7290400"/>
    <x v="61"/>
    <s v="Marketing"/>
    <n v="12280.07"/>
    <n v="74.88"/>
    <x v="9"/>
  </r>
  <r>
    <s v="Mettler-Toledo, LLC - MTI"/>
    <s v="MTMO-US"/>
    <s v="7290400"/>
    <x v="61"/>
    <s v="General &amp; Admin"/>
    <n v="6835.34"/>
    <n v="4319.13"/>
    <x v="9"/>
  </r>
  <r>
    <s v="Mettler-Toledo, LLC - MTI"/>
    <s v="MTMO-US"/>
    <s v="7290900"/>
    <x v="62"/>
    <s v="Logistics&amp;Purch. Costs"/>
    <n v="7285.25"/>
    <n v="3350"/>
    <x v="9"/>
  </r>
  <r>
    <s v="Mettler-Toledo, LLC - MTI"/>
    <s v="MTMO-US"/>
    <s v="7290900"/>
    <x v="62"/>
    <s v="Service"/>
    <n v="1638.11"/>
    <n v="3360.52"/>
    <x v="9"/>
  </r>
  <r>
    <s v="Mettler-Toledo, LLC - MTI"/>
    <s v="MTMO-US"/>
    <s v="7290900"/>
    <x v="62"/>
    <s v="Marketing"/>
    <n v="456.11"/>
    <n v="4955.17"/>
    <x v="9"/>
  </r>
  <r>
    <s v="Mettler-Toledo, LLC - MTI"/>
    <s v="MTMO-US"/>
    <s v="7290900"/>
    <x v="62"/>
    <s v="General &amp; Admin"/>
    <n v="685.16"/>
    <n v="10762.03"/>
    <x v="9"/>
  </r>
  <r>
    <s v="Mettler-Toledo, LLC - MTI"/>
    <s v="MTMO-US"/>
    <s v="7291100"/>
    <x v="63"/>
    <s v="Service"/>
    <n v="34871.54"/>
    <n v="11271.67"/>
    <x v="10"/>
  </r>
  <r>
    <s v="Mettler-Toledo, LLC - MTI"/>
    <s v="MTMO-US"/>
    <s v="7291100"/>
    <x v="63"/>
    <s v="Marketing"/>
    <n v="0"/>
    <n v="6.43"/>
    <x v="10"/>
  </r>
  <r>
    <s v="Mettler-Toledo, LLC - MTI"/>
    <s v="MTMO-US"/>
    <s v="7291100"/>
    <x v="63"/>
    <s v="General &amp; Admin"/>
    <m/>
    <m/>
    <x v="10"/>
  </r>
  <r>
    <s v="Mettler-Toledo, LLC - MTI"/>
    <s v="MTMO-US"/>
    <s v="7291200"/>
    <x v="64"/>
    <s v="Service"/>
    <n v="697.95"/>
    <n v="4803.63"/>
    <x v="10"/>
  </r>
  <r>
    <s v="Mettler-Toledo, LLC - MTI"/>
    <s v="MTMO-US"/>
    <s v="7291200"/>
    <x v="64"/>
    <s v="Marketing"/>
    <n v="32.15"/>
    <m/>
    <x v="10"/>
  </r>
  <r>
    <s v="Mettler-Toledo, LLC - MTI"/>
    <s v="MTMO-US"/>
    <s v="7291200"/>
    <x v="64"/>
    <s v="General &amp; Admin"/>
    <m/>
    <m/>
    <x v="10"/>
  </r>
  <r>
    <s v="Mettler-Toledo, LLC - MTI"/>
    <s v="MTMO-US"/>
    <s v="7291300"/>
    <x v="65"/>
    <s v="Logistics&amp;Purch. Costs"/>
    <m/>
    <n v="85.99"/>
    <x v="10"/>
  </r>
  <r>
    <s v="Mettler-Toledo, LLC - MTI"/>
    <s v="MTMO-US"/>
    <s v="7291300"/>
    <x v="65"/>
    <s v="Service"/>
    <n v="5915.41"/>
    <n v="376.97"/>
    <x v="10"/>
  </r>
  <r>
    <s v="Mettler-Toledo, LLC - MTI"/>
    <s v="MTMO-US"/>
    <s v="7291300"/>
    <x v="65"/>
    <s v="Marketing"/>
    <n v="1923.18"/>
    <n v="-292.17"/>
    <x v="10"/>
  </r>
  <r>
    <s v="Mettler-Toledo, LLC - MTI"/>
    <s v="MTMO-US"/>
    <s v="7291300"/>
    <x v="65"/>
    <s v="General &amp; Admin"/>
    <n v="30945.95"/>
    <n v="16860.36"/>
    <x v="10"/>
  </r>
  <r>
    <s v="Mettler-Toledo, LLC - MTI"/>
    <s v="MTMO-US"/>
    <s v="7291350"/>
    <x v="66"/>
    <s v="Logistics&amp;Purch. Costs"/>
    <m/>
    <m/>
    <x v="10"/>
  </r>
  <r>
    <s v="Mettler-Toledo, LLC - MTI"/>
    <s v="MTMO-US"/>
    <s v="7291350"/>
    <x v="66"/>
    <s v="Service"/>
    <n v="163.9"/>
    <n v="98.97"/>
    <x v="10"/>
  </r>
  <r>
    <s v="Mettler-Toledo, LLC - MTI"/>
    <s v="MTMO-US"/>
    <s v="7291350"/>
    <x v="66"/>
    <s v="Marketing"/>
    <n v="2836.71"/>
    <n v="2892.41"/>
    <x v="10"/>
  </r>
  <r>
    <s v="Mettler-Toledo, LLC - MTI"/>
    <s v="MTMO-US"/>
    <s v="7291350"/>
    <x v="66"/>
    <s v="Promotion"/>
    <n v="192"/>
    <n v="136"/>
    <x v="10"/>
  </r>
  <r>
    <s v="Mettler-Toledo, LLC - MTI"/>
    <s v="MTMO-US"/>
    <s v="7291350"/>
    <x v="66"/>
    <s v="General &amp; Admin"/>
    <n v="6918.57"/>
    <n v="6073.19"/>
    <x v="10"/>
  </r>
  <r>
    <s v="Mettler-Toledo, LLC - MTI"/>
    <s v="MTMO-US"/>
    <s v="7291400"/>
    <x v="67"/>
    <s v="Logistics&amp;Purch. Costs"/>
    <m/>
    <n v="21.49"/>
    <x v="10"/>
  </r>
  <r>
    <s v="Mettler-Toledo, LLC - MTI"/>
    <s v="MTMO-US"/>
    <s v="7291400"/>
    <x v="67"/>
    <s v="Service"/>
    <n v="2088.8200000000002"/>
    <n v="-375.77"/>
    <x v="10"/>
  </r>
  <r>
    <s v="Mettler-Toledo, LLC - MTI"/>
    <s v="MTMO-US"/>
    <s v="7291400"/>
    <x v="67"/>
    <s v="Marketing"/>
    <n v="2094.87"/>
    <n v="6358.98"/>
    <x v="10"/>
  </r>
  <r>
    <s v="Mettler-Toledo, LLC - MTI"/>
    <s v="MTMO-US"/>
    <s v="7291400"/>
    <x v="67"/>
    <s v="General &amp; Admin"/>
    <m/>
    <m/>
    <x v="10"/>
  </r>
  <r>
    <s v="Mettler-Toledo, LLC - MTI"/>
    <s v="MTMO-US"/>
    <s v="7291900"/>
    <x v="68"/>
    <s v="Service"/>
    <n v="8804.4500000000007"/>
    <n v="-2766.07"/>
    <x v="10"/>
  </r>
  <r>
    <s v="Mettler-Toledo, LLC - MTI"/>
    <s v="MTMO-US"/>
    <s v="7291900"/>
    <x v="68"/>
    <s v="Marketing"/>
    <n v="-3734.53"/>
    <n v="-4187.5"/>
    <x v="10"/>
  </r>
  <r>
    <s v="Mettler-Toledo, LLC - MTI"/>
    <s v="MTMO-US"/>
    <s v="7291900"/>
    <x v="68"/>
    <s v="General &amp; Admin"/>
    <m/>
    <n v="0"/>
    <x v="10"/>
  </r>
  <r>
    <s v="Mettler-Toledo, LLC - MTI"/>
    <s v="MTMO-US"/>
    <s v="7292100"/>
    <x v="69"/>
    <s v="General &amp; Admin"/>
    <m/>
    <m/>
    <x v="11"/>
  </r>
  <r>
    <s v="Mettler-Toledo, LLC - MTI"/>
    <s v="MTMO-US"/>
    <s v="7292110"/>
    <x v="70"/>
    <s v="Service"/>
    <m/>
    <m/>
    <x v="11"/>
  </r>
  <r>
    <s v="Mettler-Toledo, LLC - MTI"/>
    <s v="MTMO-US"/>
    <s v="7292110"/>
    <x v="70"/>
    <s v="Marketing"/>
    <m/>
    <m/>
    <x v="11"/>
  </r>
  <r>
    <s v="Mettler-Toledo, LLC - MTI"/>
    <s v="MTMO-US"/>
    <s v="7292140"/>
    <x v="71"/>
    <s v="Logistics&amp;Purch. Costs"/>
    <n v="16203"/>
    <n v="16203"/>
    <x v="11"/>
  </r>
  <r>
    <s v="Mettler-Toledo, LLC - MTI"/>
    <s v="MTMO-US"/>
    <s v="7292140"/>
    <x v="71"/>
    <s v="Service"/>
    <n v="54392.74"/>
    <n v="15878.63"/>
    <x v="11"/>
  </r>
  <r>
    <s v="Mettler-Toledo, LLC - MTI"/>
    <s v="MTMO-US"/>
    <s v="7292140"/>
    <x v="71"/>
    <s v="Marketing"/>
    <n v="55649.34"/>
    <n v="35494.400000000001"/>
    <x v="11"/>
  </r>
  <r>
    <s v="Mettler-Toledo, LLC - MTI"/>
    <s v="MTMO-US"/>
    <s v="7292140"/>
    <x v="71"/>
    <s v="General &amp; Admin"/>
    <n v="118015.25"/>
    <n v="114577.91"/>
    <x v="11"/>
  </r>
  <r>
    <s v="Mettler-Toledo, LLC - MTI"/>
    <s v="MTMO-US"/>
    <s v="7292490"/>
    <x v="72"/>
    <s v="Logistics&amp;Purch. Costs"/>
    <n v="4086"/>
    <n v="4086"/>
    <x v="11"/>
  </r>
  <r>
    <s v="Mettler-Toledo, LLC - MTI"/>
    <s v="MTMO-US"/>
    <s v="7292490"/>
    <x v="72"/>
    <s v="Service"/>
    <n v="41045.71"/>
    <n v="51136.29"/>
    <x v="11"/>
  </r>
  <r>
    <s v="Mettler-Toledo, LLC - MTI"/>
    <s v="MTMO-US"/>
    <s v="7292490"/>
    <x v="72"/>
    <s v="Marketing"/>
    <n v="12258"/>
    <n v="20430"/>
    <x v="11"/>
  </r>
  <r>
    <s v="Mettler-Toledo, LLC - MTI"/>
    <s v="MTMO-US"/>
    <s v="7292540"/>
    <x v="73"/>
    <s v="Logistics&amp;Purch. Costs"/>
    <n v="-31730.29"/>
    <n v="-25940.42"/>
    <x v="11"/>
  </r>
  <r>
    <s v="Mettler-Toledo, LLC - MTI"/>
    <s v="MTMO-US"/>
    <s v="7292540"/>
    <x v="73"/>
    <s v="Service"/>
    <n v="-8666.65"/>
    <n v="-112247.67999999999"/>
    <x v="11"/>
  </r>
  <r>
    <s v="Mettler-Toledo, LLC - MTI"/>
    <s v="MTMO-US"/>
    <s v="7292540"/>
    <x v="73"/>
    <s v="Marketing"/>
    <n v="-8557.92"/>
    <n v="-7390.18"/>
    <x v="11"/>
  </r>
  <r>
    <s v="Mettler-Toledo, LLC - MTI"/>
    <s v="MTMO-US"/>
    <s v="7292540"/>
    <x v="73"/>
    <s v="General &amp; Admin"/>
    <n v="-43562.58"/>
    <n v="-29505.86"/>
    <x v="11"/>
  </r>
  <r>
    <s v="Mettler-Toledo, LLC - MTI"/>
    <s v="MTMO-US"/>
    <s v="7292550"/>
    <x v="74"/>
    <s v="Marketing"/>
    <n v="-57897.99"/>
    <n v="-62180.34"/>
    <x v="11"/>
  </r>
  <r>
    <s v="Mettler-Toledo, LLC - MTI"/>
    <s v="MTMO-US"/>
    <s v="7292560"/>
    <x v="75"/>
    <s v="Service"/>
    <m/>
    <m/>
    <x v="11"/>
  </r>
  <r>
    <s v="Mettler-Toledo, LLC - MTI"/>
    <s v="MTMO-US"/>
    <s v="7292560"/>
    <x v="75"/>
    <s v="Marketing"/>
    <n v="0"/>
    <m/>
    <x v="11"/>
  </r>
  <r>
    <s v="Mettler-Toledo, LLC - MTI"/>
    <s v="MTMO-US"/>
    <s v="7292560"/>
    <x v="75"/>
    <s v="General &amp; Admin"/>
    <m/>
    <m/>
    <x v="11"/>
  </r>
  <r>
    <s v="Mettler-Toledo, LLC - MTI"/>
    <s v="MTMO-US"/>
    <s v="7292990"/>
    <x v="76"/>
    <s v="Logistics&amp;Purch. Costs"/>
    <m/>
    <n v="0"/>
    <x v="11"/>
  </r>
  <r>
    <s v="Mettler-Toledo, LLC - MTI"/>
    <s v="MTMO-US"/>
    <s v="7292990"/>
    <x v="76"/>
    <s v="Service"/>
    <n v="7193"/>
    <n v="10959.81"/>
    <x v="11"/>
  </r>
  <r>
    <s v="Mettler-Toledo, LLC - MTI"/>
    <s v="MTMO-US"/>
    <s v="7292990"/>
    <x v="76"/>
    <s v="Marketing"/>
    <n v="8700.6200000000008"/>
    <n v="1171.1400000000001"/>
    <x v="11"/>
  </r>
  <r>
    <s v="Mettler-Toledo, LLC - MTI"/>
    <s v="MTMO-US"/>
    <s v="7292990"/>
    <x v="76"/>
    <s v="General &amp; Admin"/>
    <n v="70820.820000000007"/>
    <n v="56011.65"/>
    <x v="11"/>
  </r>
  <r>
    <s v="Mettler-Toledo, LLC - MTI"/>
    <s v="MTMO-US"/>
    <s v="7299010"/>
    <x v="77"/>
    <s v="Logistics&amp;Purch. Costs"/>
    <n v="-71.069999999999993"/>
    <n v="-106.19"/>
    <x v="12"/>
  </r>
  <r>
    <s v="Mettler-Toledo, LLC - MTI"/>
    <s v="MTMO-US"/>
    <s v="7299010"/>
    <x v="77"/>
    <s v="Service"/>
    <n v="5875.51"/>
    <n v="1240.1300000000001"/>
    <x v="12"/>
  </r>
  <r>
    <s v="Mettler-Toledo, LLC - MTI"/>
    <s v="MTMO-US"/>
    <s v="7299010"/>
    <x v="77"/>
    <s v="Marketing"/>
    <n v="3611.52"/>
    <n v="-340.1"/>
    <x v="12"/>
  </r>
  <r>
    <s v="Mettler-Toledo, LLC - MTI"/>
    <s v="MTMO-US"/>
    <s v="7299010"/>
    <x v="77"/>
    <s v="General &amp; Admin"/>
    <n v="142.16999999999999"/>
    <n v="1410.32"/>
    <x v="12"/>
  </r>
  <r>
    <s v="Mettler-Toledo, LLC - MTI"/>
    <s v="MTMO-US"/>
    <s v="7299030"/>
    <x v="78"/>
    <s v="Logistics&amp;Purch. Costs"/>
    <n v="20"/>
    <m/>
    <x v="12"/>
  </r>
  <r>
    <s v="Mettler-Toledo, LLC - MTI"/>
    <s v="MTMO-US"/>
    <s v="7299030"/>
    <x v="78"/>
    <s v="Service"/>
    <n v="1818.97"/>
    <n v="3734.56"/>
    <x v="12"/>
  </r>
  <r>
    <s v="Mettler-Toledo, LLC - MTI"/>
    <s v="MTMO-US"/>
    <s v="7299030"/>
    <x v="78"/>
    <s v="Marketing"/>
    <n v="626.08000000000004"/>
    <n v="543.39"/>
    <x v="12"/>
  </r>
  <r>
    <s v="Mettler-Toledo, LLC - MTI"/>
    <s v="MTMO-US"/>
    <s v="7299030"/>
    <x v="78"/>
    <s v="Promotion"/>
    <m/>
    <m/>
    <x v="12"/>
  </r>
  <r>
    <s v="Mettler-Toledo, LLC - MTI"/>
    <s v="MTMO-US"/>
    <s v="7299030"/>
    <x v="78"/>
    <s v="General &amp; Admin"/>
    <n v="1194.6500000000001"/>
    <n v="441.15"/>
    <x v="12"/>
  </r>
  <r>
    <s v="Mettler-Toledo, LLC - MTI"/>
    <s v="MTMO-US"/>
    <s v="7299040"/>
    <x v="79"/>
    <s v="Logistics&amp;Purch. Costs"/>
    <n v="-24.7"/>
    <n v="50.24"/>
    <x v="12"/>
  </r>
  <r>
    <s v="Mettler-Toledo, LLC - MTI"/>
    <s v="MTMO-US"/>
    <s v="7299040"/>
    <x v="79"/>
    <s v="Service"/>
    <n v="55256.480000000003"/>
    <n v="10767.59"/>
    <x v="12"/>
  </r>
  <r>
    <s v="Mettler-Toledo, LLC - MTI"/>
    <s v="MTMO-US"/>
    <s v="7299040"/>
    <x v="79"/>
    <s v="Marketing"/>
    <n v="59111.74"/>
    <n v="9418.1299999999992"/>
    <x v="12"/>
  </r>
  <r>
    <s v="Mettler-Toledo, LLC - MTI"/>
    <s v="MTMO-US"/>
    <s v="7299040"/>
    <x v="79"/>
    <s v="General &amp; Admin"/>
    <n v="3367.02"/>
    <n v="761.24"/>
    <x v="12"/>
  </r>
  <r>
    <s v="Mettler-Toledo, LLC - MTI"/>
    <s v="MTMO-US"/>
    <s v="7299050"/>
    <x v="80"/>
    <s v="Service"/>
    <n v="360.13"/>
    <n v="1995.68"/>
    <x v="12"/>
  </r>
  <r>
    <s v="Mettler-Toledo, LLC - MTI"/>
    <s v="MTMO-US"/>
    <s v="7299050"/>
    <x v="80"/>
    <s v="Marketing"/>
    <n v="7.51"/>
    <n v="1063.5899999999999"/>
    <x v="12"/>
  </r>
  <r>
    <s v="Mettler-Toledo, LLC - MTI"/>
    <s v="MTMO-US"/>
    <s v="7299050"/>
    <x v="80"/>
    <s v="General &amp; Admin"/>
    <m/>
    <n v="123.6"/>
    <x v="12"/>
  </r>
  <r>
    <s v="Mettler-Toledo, LLC - MTI"/>
    <s v="MTMO-US"/>
    <s v="7299070"/>
    <x v="81"/>
    <s v="General &amp; Admin"/>
    <n v="3007.6"/>
    <n v="5104.16"/>
    <x v="12"/>
  </r>
  <r>
    <s v="Mettler-Toledo, LLC - MTI"/>
    <s v="MTMO-US"/>
    <s v="7299080"/>
    <x v="82"/>
    <s v="Service"/>
    <n v="14720.16"/>
    <n v="10573.32"/>
    <x v="12"/>
  </r>
  <r>
    <s v="Mettler-Toledo, LLC - MTI"/>
    <s v="MTMO-US"/>
    <s v="7299080"/>
    <x v="82"/>
    <s v="Marketing"/>
    <m/>
    <m/>
    <x v="12"/>
  </r>
  <r>
    <s v="Mettler-Toledo, LLC - MTI"/>
    <s v="MTMO-US"/>
    <s v="7299080"/>
    <x v="82"/>
    <s v="General &amp; Admin"/>
    <m/>
    <m/>
    <x v="12"/>
  </r>
  <r>
    <s v="Mettler-Toledo, LLC - MTI"/>
    <s v="MTMO-US"/>
    <s v="7299100"/>
    <x v="83"/>
    <s v="General &amp; Admin"/>
    <n v="55253.33"/>
    <n v="22483.33"/>
    <x v="12"/>
  </r>
  <r>
    <s v="Mettler-Toledo, LLC - MTI"/>
    <s v="MTMO-US"/>
    <s v="7299210"/>
    <x v="84"/>
    <s v="Service"/>
    <n v="148.6"/>
    <n v="132.91999999999999"/>
    <x v="12"/>
  </r>
  <r>
    <s v="Mettler-Toledo, LLC - MTI"/>
    <s v="MTMO-US"/>
    <s v="7299210"/>
    <x v="84"/>
    <s v="Marketing"/>
    <n v="5561.9"/>
    <n v="2743.55"/>
    <x v="12"/>
  </r>
  <r>
    <s v="Mettler-Toledo, LLC - MTI"/>
    <s v="MTMO-US"/>
    <s v="7299210"/>
    <x v="84"/>
    <s v="Promotion"/>
    <m/>
    <m/>
    <x v="12"/>
  </r>
  <r>
    <s v="Mettler-Toledo, LLC - MTI"/>
    <s v="MTMO-US"/>
    <s v="7299210"/>
    <x v="84"/>
    <s v="General &amp; Admin"/>
    <m/>
    <m/>
    <x v="12"/>
  </r>
  <r>
    <s v="Mettler-Toledo, LLC - MTI"/>
    <s v="MTMO-US"/>
    <s v="7299230"/>
    <x v="85"/>
    <s v="Service"/>
    <n v="14992.17"/>
    <n v="31366.5"/>
    <x v="12"/>
  </r>
  <r>
    <s v="Mettler-Toledo, LLC - MTI"/>
    <s v="MTMO-US"/>
    <s v="7299230"/>
    <x v="85"/>
    <s v="Marketing"/>
    <n v="568.82000000000005"/>
    <n v="1492.04"/>
    <x v="12"/>
  </r>
  <r>
    <s v="Mettler-Toledo, LLC - MTI"/>
    <s v="MTMO-US"/>
    <s v="7299230"/>
    <x v="85"/>
    <s v="General &amp; Admin"/>
    <m/>
    <n v="0"/>
    <x v="12"/>
  </r>
  <r>
    <s v="Mettler-Toledo, LLC - MTI"/>
    <s v="MTMO-US"/>
    <s v="7299250"/>
    <x v="86"/>
    <s v="Logistics&amp;Purch. Costs"/>
    <m/>
    <m/>
    <x v="12"/>
  </r>
  <r>
    <s v="Mettler-Toledo, LLC - MTI"/>
    <s v="MTMO-US"/>
    <s v="7299250"/>
    <x v="86"/>
    <s v="Service"/>
    <n v="23680.53"/>
    <n v="13469.98"/>
    <x v="12"/>
  </r>
  <r>
    <s v="Mettler-Toledo, LLC - MTI"/>
    <s v="MTMO-US"/>
    <s v="7299250"/>
    <x v="86"/>
    <s v="Marketing"/>
    <n v="1310.4100000000001"/>
    <n v="952.13"/>
    <x v="12"/>
  </r>
  <r>
    <s v="Mettler-Toledo, LLC - MTI"/>
    <s v="MTMO-US"/>
    <s v="7299250"/>
    <x v="86"/>
    <s v="General &amp; Admin"/>
    <m/>
    <m/>
    <x v="12"/>
  </r>
  <r>
    <s v="Mettler-Toledo, LLC - MTI"/>
    <s v="MTMO-US"/>
    <s v="7299260"/>
    <x v="87"/>
    <s v="Service"/>
    <n v="10145.44"/>
    <n v="12915.43"/>
    <x v="12"/>
  </r>
  <r>
    <s v="Mettler-Toledo, LLC - MTI"/>
    <s v="MTMO-US"/>
    <s v="7299260"/>
    <x v="87"/>
    <s v="Marketing"/>
    <n v="3769.97"/>
    <n v="4891.1499999999996"/>
    <x v="12"/>
  </r>
  <r>
    <s v="Mettler-Toledo, LLC - MTI"/>
    <s v="MTMO-US"/>
    <s v="7299260"/>
    <x v="87"/>
    <s v="Promotion"/>
    <n v="241.67"/>
    <m/>
    <x v="12"/>
  </r>
  <r>
    <s v="Mettler-Toledo, LLC - MTI"/>
    <s v="MTMO-US"/>
    <s v="7299260"/>
    <x v="87"/>
    <s v="General &amp; Admin"/>
    <n v="570"/>
    <n v="2853.34"/>
    <x v="12"/>
  </r>
  <r>
    <s v="Mettler-Toledo, LLC - MTI"/>
    <s v="MTMO-US"/>
    <s v="7299270"/>
    <x v="88"/>
    <s v="Service"/>
    <n v="0"/>
    <n v="0"/>
    <x v="12"/>
  </r>
  <r>
    <s v="Mettler-Toledo, LLC - MTI"/>
    <s v="MTMO-US"/>
    <s v="7299273"/>
    <x v="89"/>
    <s v="Service"/>
    <n v="0"/>
    <n v="0"/>
    <x v="12"/>
  </r>
  <r>
    <s v="Mettler-Toledo, LLC - MTI"/>
    <s v="MTMO-US"/>
    <s v="7299273"/>
    <x v="89"/>
    <s v="Marketing"/>
    <n v="1347.78"/>
    <n v="1758.55"/>
    <x v="12"/>
  </r>
  <r>
    <s v="Mettler-Toledo, LLC - MTI"/>
    <s v="MTMO-US"/>
    <s v="7299300"/>
    <x v="90"/>
    <s v="Service"/>
    <m/>
    <n v="0"/>
    <x v="12"/>
  </r>
  <r>
    <s v="Mettler-Toledo, LLC - MTI"/>
    <s v="MTMO-US"/>
    <s v="7299300"/>
    <x v="90"/>
    <s v="Marketing"/>
    <n v="0"/>
    <n v="0"/>
    <x v="12"/>
  </r>
  <r>
    <s v="Mettler-Toledo, LLC - MTI"/>
    <s v="MTMO-US"/>
    <s v="7299400"/>
    <x v="91"/>
    <s v="Marketing"/>
    <n v="1080"/>
    <n v="1050"/>
    <x v="12"/>
  </r>
  <r>
    <s v="Mettler-Toledo, LLC - MTI"/>
    <s v="MTMO-US"/>
    <s v="7299520"/>
    <x v="92"/>
    <s v="Service"/>
    <n v="124.05"/>
    <n v="230.94"/>
    <x v="12"/>
  </r>
  <r>
    <s v="Mettler-Toledo, LLC - MTI"/>
    <s v="MTMO-US"/>
    <s v="7299520"/>
    <x v="92"/>
    <s v="Marketing"/>
    <n v="-5306.54"/>
    <m/>
    <x v="12"/>
  </r>
  <r>
    <s v="Mettler-Toledo, LLC - MTI"/>
    <s v="MTMO-US"/>
    <s v="7299520"/>
    <x v="92"/>
    <s v="General &amp; Admin"/>
    <m/>
    <n v="135.03"/>
    <x v="12"/>
  </r>
  <r>
    <s v="Mettler-Toledo, LLC - MTI"/>
    <s v="MTMO-US"/>
    <s v="7299530"/>
    <x v="93"/>
    <s v="Service"/>
    <n v="96.41"/>
    <n v="427.07"/>
    <x v="12"/>
  </r>
  <r>
    <s v="Mettler-Toledo, LLC - MTI"/>
    <s v="MTMO-US"/>
    <s v="7299530"/>
    <x v="93"/>
    <s v="Marketing"/>
    <n v="3897.52"/>
    <n v="4536.12"/>
    <x v="12"/>
  </r>
  <r>
    <s v="Mettler-Toledo, LLC - MTI"/>
    <s v="MTMO-US"/>
    <s v="7299530"/>
    <x v="93"/>
    <s v="General &amp; Admin"/>
    <n v="7906.96"/>
    <n v="9922.8700000000008"/>
    <x v="12"/>
  </r>
  <r>
    <s v="Mettler-Toledo, LLC - MTI"/>
    <s v="MTMO-US"/>
    <s v="7299800"/>
    <x v="94"/>
    <s v="General &amp; Admin"/>
    <n v="-77.069999999999993"/>
    <n v="-441.81"/>
    <x v="12"/>
  </r>
  <r>
    <s v="Mettler-Toledo, LLC - MTI"/>
    <s v="MTMO-US"/>
    <s v="7299900"/>
    <x v="95"/>
    <s v="Logistics&amp;Purch. Costs"/>
    <n v="113.73"/>
    <n v="41.32"/>
    <x v="12"/>
  </r>
  <r>
    <s v="Mettler-Toledo, LLC - MTI"/>
    <s v="MTMO-US"/>
    <s v="7299900"/>
    <x v="95"/>
    <s v="Service"/>
    <n v="-27345.08"/>
    <n v="-95702.73"/>
    <x v="12"/>
  </r>
  <r>
    <s v="Mettler-Toledo, LLC - MTI"/>
    <s v="MTMO-US"/>
    <s v="7299900"/>
    <x v="95"/>
    <s v="Marketing"/>
    <n v="25495.53"/>
    <n v="21276.22"/>
    <x v="12"/>
  </r>
  <r>
    <s v="Mettler-Toledo, LLC - MTI"/>
    <s v="MTMO-US"/>
    <s v="7299900"/>
    <x v="95"/>
    <s v="Promotion"/>
    <m/>
    <m/>
    <x v="12"/>
  </r>
  <r>
    <s v="Mettler-Toledo, LLC - MTI"/>
    <s v="MTMO-US"/>
    <s v="7299900"/>
    <x v="95"/>
    <s v="General &amp; Admin"/>
    <n v="1471.63"/>
    <n v="-60279.57"/>
    <x v="12"/>
  </r>
  <r>
    <s v="Mettler-Toledo, LLC - MTI"/>
    <s v="MTMO-US"/>
    <s v="7299950"/>
    <x v="96"/>
    <s v="Service"/>
    <m/>
    <m/>
    <x v="12"/>
  </r>
  <r>
    <s v="Mettler-Toledo, LLC - MTI"/>
    <s v="MTMO-US"/>
    <s v="7300050"/>
    <x v="97"/>
    <s v="General &amp; Admin"/>
    <n v="1517.17"/>
    <n v="1565.95"/>
    <x v="13"/>
  </r>
  <r>
    <s v="Mettler-Toledo, LLC - MTI"/>
    <s v="MTMO-US"/>
    <s v="7300100"/>
    <x v="98"/>
    <s v="Service"/>
    <n v="39757.26"/>
    <n v="37123.06"/>
    <x v="13"/>
  </r>
  <r>
    <s v="Mettler-Toledo, LLC - MTI"/>
    <s v="MTMO-US"/>
    <s v="7300100"/>
    <x v="98"/>
    <s v="Marketing"/>
    <n v="1756.92"/>
    <n v="1991.93"/>
    <x v="13"/>
  </r>
  <r>
    <s v="Mettler-Toledo, LLC - MTI"/>
    <s v="MTMO-US"/>
    <s v="7300110"/>
    <x v="99"/>
    <s v="Service"/>
    <n v="8607.7999999999993"/>
    <n v="8174.94"/>
    <x v="13"/>
  </r>
  <r>
    <s v="Mettler-Toledo, LLC - MTI"/>
    <s v="MTMO-US"/>
    <s v="7300110"/>
    <x v="99"/>
    <s v="Marketing"/>
    <n v="50.79"/>
    <n v="50.79"/>
    <x v="13"/>
  </r>
  <r>
    <s v="Mettler-Toledo, LLC - MTI"/>
    <s v="MTMO-US"/>
    <s v="7300120"/>
    <x v="100"/>
    <s v="Service"/>
    <m/>
    <n v="176.96"/>
    <x v="13"/>
  </r>
  <r>
    <s v="Mettler-Toledo, LLC - MTI"/>
    <s v="MTMO-US"/>
    <s v="7300120"/>
    <x v="100"/>
    <s v="General &amp; Admin"/>
    <n v="7336.69"/>
    <n v="15233.7"/>
    <x v="13"/>
  </r>
  <r>
    <s v="Mettler-Toledo, LLC - MTI"/>
    <s v="MTMO-US"/>
    <s v="7300130"/>
    <x v="101"/>
    <s v="Logistics&amp;Purch. Costs"/>
    <n v="95.76"/>
    <n v="95.76"/>
    <x v="13"/>
  </r>
  <r>
    <s v="Mettler-Toledo, LLC - MTI"/>
    <s v="MTMO-US"/>
    <s v="7300130"/>
    <x v="101"/>
    <s v="Service"/>
    <n v="5809.54"/>
    <n v="6289.6"/>
    <x v="13"/>
  </r>
  <r>
    <s v="Mettler-Toledo, LLC - MTI"/>
    <s v="MTMO-US"/>
    <s v="7300130"/>
    <x v="101"/>
    <s v="Marketing"/>
    <n v="539.83000000000004"/>
    <n v="539.83000000000004"/>
    <x v="13"/>
  </r>
  <r>
    <s v="Mettler-Toledo, LLC - MTI"/>
    <s v="MTMO-US"/>
    <s v="7300130"/>
    <x v="101"/>
    <s v="General &amp; Admin"/>
    <n v="7267.11"/>
    <n v="7267.11"/>
    <x v="13"/>
  </r>
  <r>
    <s v="Mettler-Toledo, LLC - MTI"/>
    <s v="MTMO-US"/>
    <s v="7300140"/>
    <x v="102"/>
    <s v="Service"/>
    <n v="690.75"/>
    <n v="726.22"/>
    <x v="13"/>
  </r>
  <r>
    <s v="Mettler-Toledo, LLC - MTI"/>
    <s v="MTMO-US"/>
    <s v="7300140"/>
    <x v="102"/>
    <s v="Marketing"/>
    <n v="1172.46"/>
    <n v="1172.46"/>
    <x v="13"/>
  </r>
  <r>
    <s v="Mettler-Toledo, LLC - MTI"/>
    <s v="MTMO-US"/>
    <s v="7100050"/>
    <x v="103"/>
    <s v="Logistics&amp;Purch. Costs"/>
    <n v="106318.06"/>
    <n v="97188.65"/>
    <x v="14"/>
  </r>
  <r>
    <s v="Mettler-Toledo, LLC - MTI"/>
    <s v="MTMO-US"/>
    <s v="7100050"/>
    <x v="103"/>
    <s v="Service"/>
    <n v="3556247.37"/>
    <n v="3424988.61"/>
    <x v="14"/>
  </r>
  <r>
    <s v="Mettler-Toledo, LLC - MTI"/>
    <s v="MTMO-US"/>
    <s v="7100050"/>
    <x v="103"/>
    <s v="Marketing"/>
    <n v="3264889.3"/>
    <n v="2962706.03"/>
    <x v="14"/>
  </r>
  <r>
    <s v="Mettler-Toledo, LLC - MTI"/>
    <s v="MTMO-US"/>
    <s v="7100050"/>
    <x v="103"/>
    <s v="General &amp; Admin"/>
    <n v="319436.12"/>
    <n v="319711.24"/>
    <x v="14"/>
  </r>
  <r>
    <s v="Mettler-Toledo, LLC - MTI"/>
    <s v="MTMO-US"/>
    <s v="7100150"/>
    <x v="104"/>
    <s v="Logistics&amp;Purch. Costs"/>
    <n v="76.97"/>
    <n v="44.41"/>
    <x v="14"/>
  </r>
  <r>
    <s v="Mettler-Toledo, LLC - MTI"/>
    <s v="MTMO-US"/>
    <s v="7100150"/>
    <x v="104"/>
    <s v="Service"/>
    <n v="449225.15"/>
    <n v="387746.91"/>
    <x v="14"/>
  </r>
  <r>
    <s v="Mettler-Toledo, LLC - MTI"/>
    <s v="MTMO-US"/>
    <s v="7100150"/>
    <x v="104"/>
    <s v="Marketing"/>
    <n v="9173.36"/>
    <n v="8213.83"/>
    <x v="14"/>
  </r>
  <r>
    <s v="Mettler-Toledo, LLC - MTI"/>
    <s v="MTMO-US"/>
    <s v="7100150"/>
    <x v="104"/>
    <s v="General &amp; Admin"/>
    <n v="1024.8900000000001"/>
    <n v="1611.57"/>
    <x v="14"/>
  </r>
  <r>
    <s v="Mettler-Toledo, LLC - MTI"/>
    <s v="MTMO-US"/>
    <s v="7100900"/>
    <x v="105"/>
    <s v="Logistics&amp;Purch. Costs"/>
    <n v="325.98"/>
    <n v="325.98"/>
    <x v="14"/>
  </r>
  <r>
    <s v="Mettler-Toledo, LLC - MTI"/>
    <s v="MTMO-US"/>
    <s v="7100900"/>
    <x v="105"/>
    <s v="Service"/>
    <n v="2866.97"/>
    <n v="31140"/>
    <x v="14"/>
  </r>
  <r>
    <s v="Mettler-Toledo, LLC - MTI"/>
    <s v="MTMO-US"/>
    <s v="7100900"/>
    <x v="105"/>
    <s v="Marketing"/>
    <n v="3527.54"/>
    <n v="4847.88"/>
    <x v="14"/>
  </r>
  <r>
    <s v="Mettler-Toledo, LLC - MTI"/>
    <s v="MTMO-US"/>
    <s v="7100900"/>
    <x v="105"/>
    <s v="General &amp; Admin"/>
    <n v="725"/>
    <n v="725"/>
    <x v="14"/>
  </r>
  <r>
    <s v="Mettler-Toledo, LLC - MTI"/>
    <s v="MTMO-US"/>
    <s v="7110050"/>
    <x v="106"/>
    <s v="Marketing"/>
    <m/>
    <m/>
    <x v="15"/>
  </r>
  <r>
    <s v="Mettler-Toledo, LLC - MTI"/>
    <s v="MTMO-US"/>
    <s v="7110150"/>
    <x v="107"/>
    <s v="Logistics&amp;Purch. Costs"/>
    <n v="7826.23"/>
    <n v="7052.67"/>
    <x v="15"/>
  </r>
  <r>
    <s v="Mettler-Toledo, LLC - MTI"/>
    <s v="MTMO-US"/>
    <s v="7110150"/>
    <x v="107"/>
    <s v="Service"/>
    <n v="314953.37"/>
    <n v="298948.03000000003"/>
    <x v="15"/>
  </r>
  <r>
    <s v="Mettler-Toledo, LLC - MTI"/>
    <s v="MTMO-US"/>
    <s v="7110150"/>
    <x v="107"/>
    <s v="Marketing"/>
    <n v="282656.38"/>
    <n v="271108.21000000002"/>
    <x v="15"/>
  </r>
  <r>
    <s v="Mettler-Toledo, LLC - MTI"/>
    <s v="MTMO-US"/>
    <s v="7110150"/>
    <x v="107"/>
    <s v="General &amp; Admin"/>
    <n v="21750.21"/>
    <n v="21999.93"/>
    <x v="15"/>
  </r>
  <r>
    <s v="Mettler-Toledo, LLC - MTI"/>
    <s v="MTMO-US"/>
    <s v="7110200"/>
    <x v="108"/>
    <s v="Logistics&amp;Purch. Costs"/>
    <n v="3772.32"/>
    <n v="3564.12"/>
    <x v="15"/>
  </r>
  <r>
    <s v="Mettler-Toledo, LLC - MTI"/>
    <s v="MTMO-US"/>
    <s v="7110200"/>
    <x v="108"/>
    <s v="Service"/>
    <n v="213039.16"/>
    <n v="211701.52"/>
    <x v="15"/>
  </r>
  <r>
    <s v="Mettler-Toledo, LLC - MTI"/>
    <s v="MTMO-US"/>
    <s v="7110200"/>
    <x v="108"/>
    <s v="Marketing"/>
    <n v="208764.31"/>
    <n v="203465.76"/>
    <x v="15"/>
  </r>
  <r>
    <s v="Mettler-Toledo, LLC - MTI"/>
    <s v="MTMO-US"/>
    <s v="7110200"/>
    <x v="108"/>
    <s v="General &amp; Admin"/>
    <n v="13230.39"/>
    <n v="13366.38"/>
    <x v="15"/>
  </r>
  <r>
    <s v="Mettler-Toledo, LLC - MTI"/>
    <s v="MTMO-US"/>
    <s v="7110300"/>
    <x v="109"/>
    <s v="Logistics&amp;Purch. Costs"/>
    <n v="12551.86"/>
    <n v="11236.33"/>
    <x v="15"/>
  </r>
  <r>
    <s v="Mettler-Toledo, LLC - MTI"/>
    <s v="MTMO-US"/>
    <s v="7110300"/>
    <x v="109"/>
    <s v="Service"/>
    <n v="507537.4"/>
    <n v="478883.51"/>
    <x v="15"/>
  </r>
  <r>
    <s v="Mettler-Toledo, LLC - MTI"/>
    <s v="MTMO-US"/>
    <s v="7110300"/>
    <x v="109"/>
    <s v="Marketing"/>
    <n v="374068.49"/>
    <n v="340363.75"/>
    <x v="15"/>
  </r>
  <r>
    <s v="Mettler-Toledo, LLC - MTI"/>
    <s v="MTMO-US"/>
    <s v="7110300"/>
    <x v="109"/>
    <s v="General &amp; Admin"/>
    <n v="38002.68"/>
    <n v="37526.1"/>
    <x v="15"/>
  </r>
  <r>
    <s v="Mettler-Toledo, LLC - MTI"/>
    <s v="MTMO-US"/>
    <s v="7110350"/>
    <x v="110"/>
    <s v="Logistics&amp;Purch. Costs"/>
    <m/>
    <m/>
    <x v="15"/>
  </r>
  <r>
    <s v="Mettler-Toledo, LLC - MTI"/>
    <s v="MTMO-US"/>
    <s v="7110350"/>
    <x v="110"/>
    <s v="Service"/>
    <n v="2483.81"/>
    <n v="1794.42"/>
    <x v="15"/>
  </r>
  <r>
    <s v="Mettler-Toledo, LLC - MTI"/>
    <s v="MTMO-US"/>
    <s v="7110350"/>
    <x v="110"/>
    <s v="Marketing"/>
    <n v="604.04999999999995"/>
    <n v="124.15"/>
    <x v="15"/>
  </r>
  <r>
    <s v="Mettler-Toledo, LLC - MTI"/>
    <s v="MTMO-US"/>
    <s v="7110350"/>
    <x v="110"/>
    <s v="General &amp; Admin"/>
    <n v="39.369999999999997"/>
    <n v="111.69"/>
    <x v="15"/>
  </r>
  <r>
    <s v="Mettler-Toledo, LLC - MTI"/>
    <s v="MTMO-US"/>
    <s v="7110460"/>
    <x v="111"/>
    <s v="Logistics&amp;Purch. Costs"/>
    <n v="1288.45"/>
    <n v="386.04"/>
    <x v="15"/>
  </r>
  <r>
    <s v="Mettler-Toledo, LLC - MTI"/>
    <s v="MTMO-US"/>
    <s v="7110460"/>
    <x v="111"/>
    <s v="Service"/>
    <n v="55091.28"/>
    <n v="17918.689999999999"/>
    <x v="15"/>
  </r>
  <r>
    <s v="Mettler-Toledo, LLC - MTI"/>
    <s v="MTMO-US"/>
    <s v="7110460"/>
    <x v="111"/>
    <s v="Marketing"/>
    <n v="41185.480000000003"/>
    <n v="12234.07"/>
    <x v="15"/>
  </r>
  <r>
    <s v="Mettler-Toledo, LLC - MTI"/>
    <s v="MTMO-US"/>
    <s v="7110460"/>
    <x v="111"/>
    <s v="General &amp; Admin"/>
    <n v="4162.7"/>
    <n v="1383.31"/>
    <x v="15"/>
  </r>
  <r>
    <s v="Mettler-Toledo, LLC - MTI"/>
    <s v="MTMO-US"/>
    <s v="7110900"/>
    <x v="112"/>
    <s v="Service"/>
    <n v="1302.42"/>
    <n v="1121.51"/>
    <x v="15"/>
  </r>
  <r>
    <s v="Mettler-Toledo, LLC - MTI"/>
    <s v="MTMO-US"/>
    <s v="7110900"/>
    <x v="112"/>
    <s v="Marketing"/>
    <n v="796.81"/>
    <n v="836.5"/>
    <x v="15"/>
  </r>
  <r>
    <s v="Mettler-Toledo, LLC - MTI"/>
    <s v="MTMO-US"/>
    <s v="7110900"/>
    <x v="112"/>
    <s v="General &amp; Admin"/>
    <m/>
    <n v="0"/>
    <x v="15"/>
  </r>
  <r>
    <s v="Mettler-Toledo, LLC - MTI"/>
    <s v="MTMO-US"/>
    <s v="7120050"/>
    <x v="113"/>
    <s v="Logistics&amp;Purch. Costs"/>
    <m/>
    <m/>
    <x v="16"/>
  </r>
  <r>
    <s v="Mettler-Toledo, LLC - MTI"/>
    <s v="MTMO-US"/>
    <s v="7120050"/>
    <x v="113"/>
    <s v="Service"/>
    <n v="4193.05"/>
    <n v="3604.45"/>
    <x v="16"/>
  </r>
  <r>
    <s v="Mettler-Toledo, LLC - MTI"/>
    <s v="MTMO-US"/>
    <s v="7120050"/>
    <x v="113"/>
    <s v="Marketing"/>
    <n v="12636.73"/>
    <n v="10040.76"/>
    <x v="16"/>
  </r>
  <r>
    <s v="Mettler-Toledo, LLC - MTI"/>
    <s v="MTMO-US"/>
    <s v="7120050"/>
    <x v="113"/>
    <s v="General &amp; Admin"/>
    <n v="1655"/>
    <n v="457.55"/>
    <x v="16"/>
  </r>
  <r>
    <s v="Mettler-Toledo, LLC - MTI"/>
    <s v="MTMO-US"/>
    <s v="7120200"/>
    <x v="114"/>
    <s v="Service"/>
    <n v="164.5"/>
    <n v="820.27"/>
    <x v="16"/>
  </r>
  <r>
    <s v="Mettler-Toledo, LLC - MTI"/>
    <s v="MTMO-US"/>
    <s v="7120200"/>
    <x v="114"/>
    <s v="Marketing"/>
    <n v="46.51"/>
    <n v="267.95999999999998"/>
    <x v="16"/>
  </r>
  <r>
    <s v="Mettler-Toledo, LLC - MTI"/>
    <s v="MTMO-US"/>
    <s v="7120250"/>
    <x v="115"/>
    <s v="Logistics&amp;Purch. Costs"/>
    <m/>
    <m/>
    <x v="16"/>
  </r>
  <r>
    <s v="Mettler-Toledo, LLC - MTI"/>
    <s v="MTMO-US"/>
    <s v="7120250"/>
    <x v="115"/>
    <s v="Service"/>
    <n v="3802.76"/>
    <n v="2354.1799999999998"/>
    <x v="16"/>
  </r>
  <r>
    <s v="Mettler-Toledo, LLC - MTI"/>
    <s v="MTMO-US"/>
    <s v="7120250"/>
    <x v="115"/>
    <s v="Marketing"/>
    <n v="2098.84"/>
    <n v="2450"/>
    <x v="16"/>
  </r>
  <r>
    <s v="Mettler-Toledo, LLC - MTI"/>
    <s v="MTMO-US"/>
    <s v="7120250"/>
    <x v="115"/>
    <s v="General &amp; Admin"/>
    <m/>
    <m/>
    <x v="16"/>
  </r>
  <r>
    <s v="Mettler-Toledo, LLC - MTI"/>
    <s v="MTMO-US"/>
    <s v="7120350"/>
    <x v="116"/>
    <s v="Marketing"/>
    <m/>
    <m/>
    <x v="16"/>
  </r>
  <r>
    <s v="Mettler-Toledo, LLC - MTI"/>
    <s v="MTMO-US"/>
    <s v="7120400"/>
    <x v="117"/>
    <s v="Service"/>
    <n v="506.76"/>
    <n v="1419.99"/>
    <x v="16"/>
  </r>
  <r>
    <s v="Mettler-Toledo, LLC - MTI"/>
    <s v="MTMO-US"/>
    <s v="7120400"/>
    <x v="117"/>
    <s v="Marketing"/>
    <n v="0"/>
    <m/>
    <x v="16"/>
  </r>
  <r>
    <s v="Mettler-Toledo, LLC - MTI"/>
    <s v="MTMO-US"/>
    <s v="7120450"/>
    <x v="118"/>
    <s v="Logistics&amp;Purch. Costs"/>
    <m/>
    <m/>
    <x v="16"/>
  </r>
  <r>
    <s v="Mettler-Toledo, LLC - MTI"/>
    <s v="MTMO-US"/>
    <s v="7120450"/>
    <x v="118"/>
    <s v="Service"/>
    <n v="2473.2399999999998"/>
    <n v="4153.6000000000004"/>
    <x v="16"/>
  </r>
  <r>
    <s v="Mettler-Toledo, LLC - MTI"/>
    <s v="MTMO-US"/>
    <s v="7120450"/>
    <x v="118"/>
    <s v="Marketing"/>
    <m/>
    <m/>
    <x v="16"/>
  </r>
  <r>
    <s v="Mettler-Toledo, LLC - MTI"/>
    <s v="MTMO-US"/>
    <s v="7120450"/>
    <x v="118"/>
    <s v="General &amp; Admin"/>
    <m/>
    <m/>
    <x v="16"/>
  </r>
  <r>
    <s v="Mettler-Toledo, LLC - MTI"/>
    <s v="MTMO-US"/>
    <s v="7120650"/>
    <x v="119"/>
    <s v="Service"/>
    <m/>
    <m/>
    <x v="16"/>
  </r>
  <r>
    <s v="Mettler-Toledo, LLC - MTI"/>
    <s v="MTMO-US"/>
    <s v="7120650"/>
    <x v="119"/>
    <s v="Marketing"/>
    <n v="380"/>
    <n v="5416.93"/>
    <x v="16"/>
  </r>
  <r>
    <s v="Mettler-Toledo, LLC - MTI"/>
    <s v="MTMO-US"/>
    <s v="7120650"/>
    <x v="119"/>
    <s v="General &amp; Admin"/>
    <n v="6286.09"/>
    <m/>
    <x v="16"/>
  </r>
  <r>
    <s v="Mettler-Toledo, LLC - MTI"/>
    <s v="MTMO-US"/>
    <s v="7120750"/>
    <x v="120"/>
    <s v="Marketing"/>
    <m/>
    <n v="0"/>
    <x v="16"/>
  </r>
  <r>
    <s v="Mettler-Toledo, LLC - MTI"/>
    <s v="MTMO-US"/>
    <s v="7120750"/>
    <x v="120"/>
    <s v="General &amp; Admin"/>
    <n v="2467.19"/>
    <n v="4820"/>
    <x v="16"/>
  </r>
  <r>
    <s v="Mettler-Toledo, LLC - MTI"/>
    <s v="MTMO-US"/>
    <s v="7120900"/>
    <x v="121"/>
    <s v="Logistics&amp;Purch. Costs"/>
    <n v="6.4"/>
    <m/>
    <x v="16"/>
  </r>
  <r>
    <s v="Mettler-Toledo, LLC - MTI"/>
    <s v="MTMO-US"/>
    <s v="7120900"/>
    <x v="121"/>
    <s v="Service"/>
    <n v="6570.66"/>
    <n v="11744.65"/>
    <x v="16"/>
  </r>
  <r>
    <s v="Mettler-Toledo, LLC - MTI"/>
    <s v="MTMO-US"/>
    <s v="7120900"/>
    <x v="121"/>
    <s v="Marketing"/>
    <n v="29780.9"/>
    <n v="9318.5"/>
    <x v="16"/>
  </r>
  <r>
    <s v="Mettler-Toledo, LLC - MTI"/>
    <s v="MTMO-US"/>
    <s v="7120900"/>
    <x v="121"/>
    <s v="General &amp; Admin"/>
    <n v="7501.76"/>
    <n v="11701.96"/>
    <x v="16"/>
  </r>
  <r>
    <s v="Mettler-Toledo, LLC - MTI"/>
    <s v="MTMO-US"/>
    <s v="ZZZZZZ2"/>
    <x v="122"/>
    <s v="Marketing"/>
    <n v="-5631.54"/>
    <n v="0"/>
    <x v="12"/>
  </r>
  <r>
    <s v="Mettler-Toledo, LLC - MTI"/>
    <s v="MTMO-US"/>
    <s v="ZZZZZZ3"/>
    <x v="123"/>
    <s v="Logistics&amp;Purch. Costs"/>
    <n v="0"/>
    <n v="101408.46"/>
    <x v="12"/>
  </r>
  <r>
    <s v="Mettler-Toledo, LLC - MTI"/>
    <s v="MTMO-US"/>
    <s v="ZZZZZZ3"/>
    <x v="123"/>
    <s v="Service"/>
    <n v="5568805.5199999996"/>
    <n v="5883161.9800000004"/>
    <x v="12"/>
  </r>
  <r>
    <s v="Mettler-Toledo, LLC - MTI"/>
    <s v="MTMO-US"/>
    <s v="ZZZZZZ3"/>
    <x v="123"/>
    <s v="Marketing"/>
    <n v="123953.46"/>
    <n v="5513403.75"/>
    <x v="12"/>
  </r>
  <r>
    <s v="Mettler-Toledo, LLC - MTI"/>
    <s v="MTMO-US"/>
    <s v="ZZZZZZ3"/>
    <x v="123"/>
    <s v="Promotion"/>
    <n v="0"/>
    <n v="99431.43"/>
    <x v="12"/>
  </r>
  <r>
    <s v="Mettler-Toledo, LLC - MTI"/>
    <s v="MTMO-US"/>
    <s v="ZZZZZZ3"/>
    <x v="123"/>
    <s v="General &amp; Admin"/>
    <n v="-84715.79"/>
    <n v="908120.09"/>
    <x v="12"/>
  </r>
  <r>
    <s v="Mettler-Toledo, LLC - MTI"/>
    <s v="MTMO-US"/>
    <s v="ZZZZZZ4"/>
    <x v="124"/>
    <s v="Logistics&amp;Purch. Costs"/>
    <n v="-141242.29999999999"/>
    <n v="-109668.42"/>
    <x v="12"/>
  </r>
  <r>
    <s v="Mettler-Toledo, LLC - MTI"/>
    <s v="MTMO-US"/>
    <s v="ZZZZZZ4"/>
    <x v="124"/>
    <s v="Service"/>
    <n v="-7457090.5099999998"/>
    <n v="-6446877.6299999999"/>
    <x v="12"/>
  </r>
  <r>
    <s v="Mettler-Toledo, LLC - MTI"/>
    <s v="MTMO-US"/>
    <s v="ZZZZZZ4"/>
    <x v="124"/>
    <s v="Marketing"/>
    <n v="-6510878.6500000004"/>
    <n v="-5518131.7599999998"/>
    <x v="12"/>
  </r>
  <r>
    <s v="Mettler-Toledo, LLC - MTI"/>
    <s v="MTMO-US"/>
    <s v="ZZZZZZ4"/>
    <x v="124"/>
    <s v="Promotion"/>
    <n v="-139994.01"/>
    <n v="-99431.43"/>
    <x v="12"/>
  </r>
  <r>
    <s v="Mettler-Toledo, LLC - MTI"/>
    <s v="MTMO-US"/>
    <s v="ZZZZZZ4"/>
    <x v="124"/>
    <s v="General &amp; Admin"/>
    <n v="-778658.57"/>
    <n v="-934755.76"/>
    <x v="12"/>
  </r>
  <r>
    <s v="Mettler-Toledo, LLC - MTI"/>
    <s v="MTMO-US"/>
    <s v="ZZZZZZ5"/>
    <x v="125"/>
    <s v="General &amp; Admin"/>
    <n v="-84486.76"/>
    <n v="52662.45"/>
    <x v="12"/>
  </r>
  <r>
    <s v="Mettler-Toledo, LLC - MTI"/>
    <s v="MTMO-US"/>
    <s v="ZZZZZZ6"/>
    <x v="126"/>
    <s v="General &amp; Admin"/>
    <n v="-228.98"/>
    <n v="47"/>
    <x v="12"/>
  </r>
  <r>
    <s v="Mettler-Toledo, LLC - MTI"/>
    <s v="MTMO-US"/>
    <s v="ZZZZZZ7"/>
    <x v="127"/>
    <s v="General &amp; Admin"/>
    <m/>
    <n v="-19168.36"/>
    <x v="12"/>
  </r>
  <r>
    <s v="Mettler-Toledo, LLC - MTI"/>
    <s v="MTMO-US"/>
    <s v="ZZZZZ11"/>
    <x v="128"/>
    <s v="General &amp; Admin"/>
    <n v="-0.05"/>
    <m/>
    <x v="12"/>
  </r>
  <r>
    <s v="Mettler-Toledo, LLC - MTI"/>
    <s v="MTMO-US"/>
    <s v="TOP_01"/>
    <x v="129"/>
    <s v="Logistics&amp;Purch. Costs"/>
    <n v="143622.87"/>
    <n v="117215.87"/>
    <x v="0"/>
  </r>
  <r>
    <s v="Mettler-Toledo, LLC - MTI"/>
    <s v="MTMO-US"/>
    <s v="TOP_01"/>
    <x v="129"/>
    <s v="Service"/>
    <n v="5541024.6500000004"/>
    <n v="5095553.6100000003"/>
    <x v="0"/>
  </r>
  <r>
    <s v="Mettler-Toledo, LLC - MTI"/>
    <s v="MTMO-US"/>
    <s v="TOP_01"/>
    <x v="129"/>
    <s v="Marketing"/>
    <n v="5478650.0099999998"/>
    <n v="4759629.24"/>
    <x v="0"/>
  </r>
  <r>
    <s v="Mettler-Toledo, LLC - MTI"/>
    <s v="MTMO-US"/>
    <s v="TOP_01"/>
    <x v="129"/>
    <s v="General &amp; Admin"/>
    <n v="451189.15"/>
    <n v="426158.77"/>
    <x v="0"/>
  </r>
  <r>
    <s v="Mettler-Toledo, LLC - MTI"/>
    <s v="MTMO-US"/>
    <s v="TOP_01_01"/>
    <x v="130"/>
    <s v="Logistics&amp;Purch. Costs"/>
    <n v="106721.01"/>
    <n v="97559.039999999994"/>
    <x v="0"/>
  </r>
  <r>
    <s v="Mettler-Toledo, LLC - MTI"/>
    <s v="MTMO-US"/>
    <s v="TOP_01_01"/>
    <x v="130"/>
    <s v="Service"/>
    <n v="4008339.49"/>
    <n v="3843875.52"/>
    <x v="0"/>
  </r>
  <r>
    <s v="Mettler-Toledo, LLC - MTI"/>
    <s v="MTMO-US"/>
    <s v="TOP_01_01"/>
    <x v="130"/>
    <s v="Marketing"/>
    <n v="3277590.2"/>
    <n v="2975767.74"/>
    <x v="0"/>
  </r>
  <r>
    <s v="Mettler-Toledo, LLC - MTI"/>
    <s v="MTMO-US"/>
    <s v="TOP_01_01"/>
    <x v="130"/>
    <s v="General &amp; Admin"/>
    <n v="321186.01"/>
    <n v="322047.81"/>
    <x v="0"/>
  </r>
  <r>
    <s v="Mettler-Toledo, LLC - MTI"/>
    <s v="MTMO-US"/>
    <s v="TOP_01_02"/>
    <x v="131"/>
    <s v="Logistics&amp;Purch. Costs"/>
    <n v="25438.86"/>
    <n v="22239.16"/>
    <x v="0"/>
  </r>
  <r>
    <s v="Mettler-Toledo, LLC - MTI"/>
    <s v="MTMO-US"/>
    <s v="TOP_01_02"/>
    <x v="131"/>
    <s v="Service"/>
    <n v="1094407.44"/>
    <n v="1010367.68"/>
    <x v="0"/>
  </r>
  <r>
    <s v="Mettler-Toledo, LLC - MTI"/>
    <s v="MTMO-US"/>
    <s v="TOP_01_02"/>
    <x v="131"/>
    <s v="Marketing"/>
    <n v="908075.52000000002"/>
    <n v="828132.44"/>
    <x v="0"/>
  </r>
  <r>
    <s v="Mettler-Toledo, LLC - MTI"/>
    <s v="MTMO-US"/>
    <s v="TOP_01_02"/>
    <x v="131"/>
    <s v="General &amp; Admin"/>
    <n v="77185.350000000006"/>
    <n v="74387.41"/>
    <x v="0"/>
  </r>
  <r>
    <s v="Mettler-Toledo, LLC - MTI"/>
    <s v="MTMO-US"/>
    <s v="TOP_01_03"/>
    <x v="132"/>
    <s v="Logistics&amp;Purch. Costs"/>
    <n v="6.4"/>
    <m/>
    <x v="0"/>
  </r>
  <r>
    <s v="Mettler-Toledo, LLC - MTI"/>
    <s v="MTMO-US"/>
    <s v="TOP_01_03"/>
    <x v="132"/>
    <s v="Service"/>
    <n v="17710.97"/>
    <n v="24097.14"/>
    <x v="0"/>
  </r>
  <r>
    <s v="Mettler-Toledo, LLC - MTI"/>
    <s v="MTMO-US"/>
    <s v="TOP_01_03"/>
    <x v="132"/>
    <s v="Marketing"/>
    <n v="44942.98"/>
    <n v="27494.15"/>
    <x v="0"/>
  </r>
  <r>
    <s v="Mettler-Toledo, LLC - MTI"/>
    <s v="MTMO-US"/>
    <s v="TOP_01_03"/>
    <x v="132"/>
    <s v="General &amp; Admin"/>
    <n v="17910.04"/>
    <n v="16979.509999999998"/>
    <x v="0"/>
  </r>
  <r>
    <s v="Mettler-Toledo, LLC - MTI"/>
    <s v="MTMO-US"/>
    <s v="TOP_01_04"/>
    <x v="133"/>
    <s v="Logistics&amp;Purch. Costs"/>
    <n v="9066.33"/>
    <n v="-4104.43"/>
    <x v="0"/>
  </r>
  <r>
    <s v="Mettler-Toledo, LLC - MTI"/>
    <s v="MTMO-US"/>
    <s v="TOP_01_04"/>
    <x v="133"/>
    <s v="Service"/>
    <n v="189562.61"/>
    <n v="68593.98"/>
    <x v="0"/>
  </r>
  <r>
    <s v="Mettler-Toledo, LLC - MTI"/>
    <s v="MTMO-US"/>
    <s v="TOP_01_04"/>
    <x v="133"/>
    <s v="Marketing"/>
    <n v="77650.14"/>
    <n v="-18234.75"/>
    <x v="0"/>
  </r>
  <r>
    <s v="Mettler-Toledo, LLC - MTI"/>
    <s v="MTMO-US"/>
    <s v="TOP_01_04"/>
    <x v="133"/>
    <s v="General &amp; Admin"/>
    <n v="34907.75"/>
    <n v="12744.04"/>
    <x v="0"/>
  </r>
  <r>
    <s v="Mettler-Toledo, LLC - MTI"/>
    <s v="MTMO-US"/>
    <s v="7130050"/>
    <x v="134"/>
    <s v="Logistics&amp;Purch. Costs"/>
    <n v="3031.33"/>
    <n v="1286.57"/>
    <x v="17"/>
  </r>
  <r>
    <s v="Mettler-Toledo, LLC - MTI"/>
    <s v="MTMO-US"/>
    <s v="7130050"/>
    <x v="134"/>
    <s v="Service"/>
    <n v="173385.61"/>
    <n v="87519.01"/>
    <x v="17"/>
  </r>
  <r>
    <s v="Mettler-Toledo, LLC - MTI"/>
    <s v="MTMO-US"/>
    <s v="7130050"/>
    <x v="134"/>
    <s v="Marketing"/>
    <n v="47643.14"/>
    <n v="19260.63"/>
    <x v="17"/>
  </r>
  <r>
    <s v="Mettler-Toledo, LLC - MTI"/>
    <s v="MTMO-US"/>
    <s v="7130050"/>
    <x v="134"/>
    <s v="General &amp; Admin"/>
    <n v="8566.75"/>
    <n v="4128.04"/>
    <x v="17"/>
  </r>
  <r>
    <s v="Mettler-Toledo, LLC - MTI"/>
    <s v="MTMO-US"/>
    <s v="7130100"/>
    <x v="135"/>
    <s v="Logistics&amp;Purch. Costs"/>
    <n v="6035"/>
    <n v="-5391"/>
    <x v="17"/>
  </r>
  <r>
    <s v="Mettler-Toledo, LLC - MTI"/>
    <s v="MTMO-US"/>
    <s v="7130100"/>
    <x v="135"/>
    <s v="Service"/>
    <n v="16177"/>
    <n v="-18925.03"/>
    <x v="17"/>
  </r>
  <r>
    <s v="Mettler-Toledo, LLC - MTI"/>
    <s v="MTMO-US"/>
    <s v="7130100"/>
    <x v="135"/>
    <s v="Marketing"/>
    <n v="30007"/>
    <n v="-37495.379999999997"/>
    <x v="17"/>
  </r>
  <r>
    <s v="Mettler-Toledo, LLC - MTI"/>
    <s v="MTMO-US"/>
    <s v="7130100"/>
    <x v="135"/>
    <s v="General &amp; Admin"/>
    <n v="26341"/>
    <n v="8616"/>
    <x v="17"/>
  </r>
  <r>
    <s v="Mettler-Toledo, LLC - MTI"/>
    <s v="MTMO-US"/>
    <s v="TOP_01_05"/>
    <x v="136"/>
    <s v="Logistics&amp;Purch. Costs"/>
    <n v="2390.27"/>
    <n v="1522.1"/>
    <x v="0"/>
  </r>
  <r>
    <s v="Mettler-Toledo, LLC - MTI"/>
    <s v="MTMO-US"/>
    <s v="TOP_01_05"/>
    <x v="136"/>
    <s v="Service"/>
    <n v="231004.14"/>
    <n v="148619.29"/>
    <x v="0"/>
  </r>
  <r>
    <s v="Mettler-Toledo, LLC - MTI"/>
    <s v="MTMO-US"/>
    <s v="TOP_01_05"/>
    <x v="136"/>
    <s v="Marketing"/>
    <n v="1170391.17"/>
    <n v="946469.66"/>
    <x v="0"/>
  </r>
  <r>
    <s v="Mettler-Toledo, LLC - MTI"/>
    <s v="MTMO-US"/>
    <s v="TOP_01_05"/>
    <x v="136"/>
    <s v="General &amp; Admin"/>
    <m/>
    <n v="0"/>
    <x v="0"/>
  </r>
  <r>
    <s v="Mettler-Toledo, LLC - MTI"/>
    <s v="MTMO-US"/>
    <s v="7140050"/>
    <x v="137"/>
    <s v="Logistics&amp;Purch. Costs"/>
    <n v="2390.27"/>
    <n v="1522.1"/>
    <x v="18"/>
  </r>
  <r>
    <s v="Mettler-Toledo, LLC - MTI"/>
    <s v="MTMO-US"/>
    <s v="7140050"/>
    <x v="137"/>
    <s v="Service"/>
    <n v="207053.97"/>
    <n v="148619.29"/>
    <x v="18"/>
  </r>
  <r>
    <s v="Mettler-Toledo, LLC - MTI"/>
    <s v="MTMO-US"/>
    <s v="7140050"/>
    <x v="137"/>
    <s v="Marketing"/>
    <n v="1027291.34"/>
    <n v="749779.65"/>
    <x v="18"/>
  </r>
  <r>
    <s v="Mettler-Toledo, LLC - MTI"/>
    <s v="MTMO-US"/>
    <s v="7140050"/>
    <x v="137"/>
    <s v="General &amp; Admin"/>
    <m/>
    <n v="0"/>
    <x v="18"/>
  </r>
  <r>
    <s v="Mettler-Toledo, LLC - MTI"/>
    <s v="MTMO-US"/>
    <s v="7140100"/>
    <x v="138"/>
    <s v="Service"/>
    <n v="23950.17"/>
    <m/>
    <x v="18"/>
  </r>
  <r>
    <s v="Mettler-Toledo, LLC - MTI"/>
    <s v="MTMO-US"/>
    <s v="7140100"/>
    <x v="138"/>
    <s v="Marketing"/>
    <n v="143099.82999999999"/>
    <n v="196690.01"/>
    <x v="18"/>
  </r>
  <r>
    <s v="Mettler-Toledo, LLC - MTI"/>
    <s v="MTMO-US"/>
    <s v="TOP_02"/>
    <x v="139"/>
    <s v="Logistics&amp;Purch. Costs"/>
    <n v="6.49"/>
    <n v="-6648.65"/>
    <x v="0"/>
  </r>
  <r>
    <s v="Mettler-Toledo, LLC - MTI"/>
    <s v="MTMO-US"/>
    <s v="TOP_02"/>
    <x v="139"/>
    <s v="Service"/>
    <n v="367774.53"/>
    <n v="275155.52"/>
    <x v="0"/>
  </r>
  <r>
    <s v="Mettler-Toledo, LLC - MTI"/>
    <s v="MTMO-US"/>
    <s v="TOP_02"/>
    <x v="139"/>
    <s v="Marketing"/>
    <n v="336299.34"/>
    <n v="273188.40999999997"/>
    <x v="0"/>
  </r>
  <r>
    <s v="Mettler-Toledo, LLC - MTI"/>
    <s v="MTMO-US"/>
    <s v="TOP_02"/>
    <x v="139"/>
    <s v="Promotion"/>
    <m/>
    <m/>
    <x v="0"/>
  </r>
  <r>
    <s v="Mettler-Toledo, LLC - MTI"/>
    <s v="MTMO-US"/>
    <s v="TOP_02"/>
    <x v="139"/>
    <s v="General &amp; Admin"/>
    <n v="17724.939999999999"/>
    <n v="-39646.879999999997"/>
    <x v="0"/>
  </r>
  <r>
    <s v="Mettler-Toledo, LLC - MTI"/>
    <s v="MTMO-US"/>
    <s v="TOP_03"/>
    <x v="140"/>
    <s v="Marketing"/>
    <n v="129585"/>
    <n v="96293.33"/>
    <x v="0"/>
  </r>
  <r>
    <s v="Mettler-Toledo, LLC - MTI"/>
    <s v="MTMO-US"/>
    <s v="ZZZZZZ1"/>
    <x v="141"/>
    <s v="Marketing"/>
    <n v="129585"/>
    <n v="96293.33"/>
    <x v="19"/>
  </r>
  <r>
    <s v="Mettler-Toledo, LLC - MTI"/>
    <s v="MTMO-US"/>
    <s v="TOP_04"/>
    <x v="142"/>
    <s v="Logistics&amp;Purch. Costs"/>
    <n v="-91.3"/>
    <m/>
    <x v="0"/>
  </r>
  <r>
    <s v="Mettler-Toledo, LLC - MTI"/>
    <s v="MTMO-US"/>
    <s v="TOP_04"/>
    <x v="142"/>
    <s v="Service"/>
    <n v="80505.710000000006"/>
    <n v="60529.34"/>
    <x v="0"/>
  </r>
  <r>
    <s v="Mettler-Toledo, LLC - MTI"/>
    <s v="MTMO-US"/>
    <s v="TOP_04"/>
    <x v="142"/>
    <s v="Marketing"/>
    <n v="92228.28"/>
    <n v="97959.32"/>
    <x v="0"/>
  </r>
  <r>
    <s v="Mettler-Toledo, LLC - MTI"/>
    <s v="MTMO-US"/>
    <s v="TOP_04"/>
    <x v="142"/>
    <s v="General &amp; Admin"/>
    <n v="96044.45"/>
    <n v="112363.34"/>
    <x v="0"/>
  </r>
  <r>
    <s v="Mettler-Toledo, LLC - MTI"/>
    <s v="MTMO-US"/>
    <s v="TOP_15"/>
    <x v="143"/>
    <s v="Logistics&amp;Purch. Costs"/>
    <n v="570.71"/>
    <n v="523.51"/>
    <x v="0"/>
  </r>
  <r>
    <s v="Mettler-Toledo, LLC - MTI"/>
    <s v="MTMO-US"/>
    <s v="TOP_15"/>
    <x v="143"/>
    <s v="Service"/>
    <n v="37183.64"/>
    <n v="37837.51"/>
    <x v="0"/>
  </r>
  <r>
    <s v="Mettler-Toledo, LLC - MTI"/>
    <s v="MTMO-US"/>
    <s v="TOP_15"/>
    <x v="143"/>
    <s v="Marketing"/>
    <n v="25021.51"/>
    <n v="31142.19"/>
    <x v="0"/>
  </r>
  <r>
    <s v="Mettler-Toledo, LLC - MTI"/>
    <s v="MTMO-US"/>
    <s v="TOP_15"/>
    <x v="143"/>
    <s v="General &amp; Admin"/>
    <n v="22799.8"/>
    <n v="14797.52"/>
    <x v="0"/>
  </r>
  <r>
    <s v="Mettler-Toledo, LLC - MTI"/>
    <s v="MTMO-US"/>
    <s v="TOP_05"/>
    <x v="144"/>
    <s v="Logistics&amp;Purch. Costs"/>
    <n v="682.82"/>
    <n v="656.28"/>
    <x v="0"/>
  </r>
  <r>
    <s v="Mettler-Toledo, LLC - MTI"/>
    <s v="MTMO-US"/>
    <s v="TOP_05"/>
    <x v="144"/>
    <s v="Service"/>
    <n v="1084185.05"/>
    <n v="924135.1"/>
    <x v="0"/>
  </r>
  <r>
    <s v="Mettler-Toledo, LLC - MTI"/>
    <s v="MTMO-US"/>
    <s v="TOP_05"/>
    <x v="144"/>
    <s v="Marketing"/>
    <n v="250463.12"/>
    <n v="134969.17000000001"/>
    <x v="0"/>
  </r>
  <r>
    <s v="Mettler-Toledo, LLC - MTI"/>
    <s v="MTMO-US"/>
    <s v="TOP_05"/>
    <x v="144"/>
    <s v="General &amp; Admin"/>
    <n v="-43398.31"/>
    <n v="163180.89000000001"/>
    <x v="0"/>
  </r>
  <r>
    <s v="Mettler-Toledo, LLC - MTI"/>
    <s v="MTMO-US"/>
    <s v="TOP_06"/>
    <x v="145"/>
    <s v="Service"/>
    <n v="2362.83"/>
    <n v="-16.920000000000002"/>
    <x v="0"/>
  </r>
  <r>
    <s v="Mettler-Toledo, LLC - MTI"/>
    <s v="MTMO-US"/>
    <s v="TOP_06"/>
    <x v="145"/>
    <s v="Marketing"/>
    <n v="30936.82"/>
    <n v="57286.77"/>
    <x v="0"/>
  </r>
  <r>
    <s v="Mettler-Toledo, LLC - MTI"/>
    <s v="MTMO-US"/>
    <s v="TOP_06"/>
    <x v="145"/>
    <s v="Promotion"/>
    <n v="139560.34"/>
    <n v="99295.43"/>
    <x v="0"/>
  </r>
  <r>
    <s v="Mettler-Toledo, LLC - MTI"/>
    <s v="MTMO-US"/>
    <s v="TOP_06"/>
    <x v="145"/>
    <s v="General &amp; Admin"/>
    <n v="-183.1"/>
    <m/>
    <x v="0"/>
  </r>
  <r>
    <s v="Mettler-Toledo, LLC - MTI"/>
    <s v="MTMO-US"/>
    <s v="TOP_07"/>
    <x v="146"/>
    <s v="Logistics&amp;Purch. Costs"/>
    <n v="473.03"/>
    <n v="34.22"/>
    <x v="0"/>
  </r>
  <r>
    <s v="Mettler-Toledo, LLC - MTI"/>
    <s v="MTMO-US"/>
    <s v="TOP_07"/>
    <x v="146"/>
    <s v="Service"/>
    <n v="3841.73"/>
    <n v="773.21"/>
    <x v="0"/>
  </r>
  <r>
    <s v="Mettler-Toledo, LLC - MTI"/>
    <s v="MTMO-US"/>
    <s v="TOP_07"/>
    <x v="146"/>
    <s v="Marketing"/>
    <n v="27856.81"/>
    <n v="5353.19"/>
    <x v="0"/>
  </r>
  <r>
    <s v="Mettler-Toledo, LLC - MTI"/>
    <s v="MTMO-US"/>
    <s v="TOP_07"/>
    <x v="146"/>
    <s v="General &amp; Admin"/>
    <n v="9643.58"/>
    <n v="9286.8700000000008"/>
    <x v="0"/>
  </r>
  <r>
    <s v="Mettler-Toledo, LLC - MTI"/>
    <s v="MTMO-US"/>
    <s v="TOP_08"/>
    <x v="147"/>
    <s v="Service"/>
    <m/>
    <m/>
    <x v="0"/>
  </r>
  <r>
    <s v="Mettler-Toledo, LLC - MTI"/>
    <s v="MTMO-US"/>
    <s v="TOP_08"/>
    <x v="147"/>
    <s v="Marketing"/>
    <m/>
    <m/>
    <x v="0"/>
  </r>
  <r>
    <s v="Mettler-Toledo, LLC - MTI"/>
    <s v="MTMO-US"/>
    <s v="TOP_09"/>
    <x v="148"/>
    <s v="Logistics&amp;Purch. Costs"/>
    <m/>
    <m/>
    <x v="0"/>
  </r>
  <r>
    <s v="Mettler-Toledo, LLC - MTI"/>
    <s v="MTMO-US"/>
    <s v="TOP_09"/>
    <x v="148"/>
    <s v="Service"/>
    <m/>
    <m/>
    <x v="0"/>
  </r>
  <r>
    <s v="Mettler-Toledo, LLC - MTI"/>
    <s v="MTMO-US"/>
    <s v="TOP_09"/>
    <x v="148"/>
    <s v="General &amp; Admin"/>
    <n v="22363.58"/>
    <n v="21920.83"/>
    <x v="0"/>
  </r>
  <r>
    <s v="Mettler-Toledo, LLC - MTI"/>
    <s v="MTMO-US"/>
    <s v="TOP_10"/>
    <x v="149"/>
    <s v="Logistics&amp;Purch. Costs"/>
    <n v="7285.25"/>
    <n v="3350"/>
    <x v="0"/>
  </r>
  <r>
    <s v="Mettler-Toledo, LLC - MTI"/>
    <s v="MTMO-US"/>
    <s v="TOP_10"/>
    <x v="149"/>
    <s v="Service"/>
    <n v="38966.78"/>
    <n v="30131.64"/>
    <x v="0"/>
  </r>
  <r>
    <s v="Mettler-Toledo, LLC - MTI"/>
    <s v="MTMO-US"/>
    <s v="TOP_10"/>
    <x v="149"/>
    <s v="Marketing"/>
    <n v="27562.63"/>
    <n v="16867.189999999999"/>
    <x v="0"/>
  </r>
  <r>
    <s v="Mettler-Toledo, LLC - MTI"/>
    <s v="MTMO-US"/>
    <s v="TOP_10"/>
    <x v="149"/>
    <s v="General &amp; Admin"/>
    <n v="15095"/>
    <n v="22555.66"/>
    <x v="0"/>
  </r>
  <r>
    <s v="Mettler-Toledo, LLC - MTI"/>
    <s v="MTMO-US"/>
    <s v="TOP_11"/>
    <x v="150"/>
    <s v="Logistics&amp;Purch. Costs"/>
    <n v="95.76"/>
    <n v="95.76"/>
    <x v="0"/>
  </r>
  <r>
    <s v="Mettler-Toledo, LLC - MTI"/>
    <s v="MTMO-US"/>
    <s v="TOP_11"/>
    <x v="150"/>
    <s v="Service"/>
    <n v="54865.35"/>
    <n v="52490.78"/>
    <x v="0"/>
  </r>
  <r>
    <s v="Mettler-Toledo, LLC - MTI"/>
    <s v="MTMO-US"/>
    <s v="TOP_11"/>
    <x v="150"/>
    <s v="Marketing"/>
    <n v="3520"/>
    <n v="3755.01"/>
    <x v="0"/>
  </r>
  <r>
    <s v="Mettler-Toledo, LLC - MTI"/>
    <s v="MTMO-US"/>
    <s v="TOP_11"/>
    <x v="150"/>
    <s v="General &amp; Admin"/>
    <n v="16120.97"/>
    <n v="24066.76"/>
    <x v="0"/>
  </r>
  <r>
    <s v="Mettler-Toledo, LLC - MTI"/>
    <s v="MTMO-US"/>
    <s v="TOP_12"/>
    <x v="151"/>
    <s v="Logistics&amp;Purch. Costs"/>
    <m/>
    <n v="107.48"/>
    <x v="0"/>
  </r>
  <r>
    <s v="Mettler-Toledo, LLC - MTI"/>
    <s v="MTMO-US"/>
    <s v="TOP_12"/>
    <x v="151"/>
    <s v="Service"/>
    <n v="52542.07"/>
    <n v="13409.4"/>
    <x v="0"/>
  </r>
  <r>
    <s v="Mettler-Toledo, LLC - MTI"/>
    <s v="MTMO-US"/>
    <s v="TOP_12"/>
    <x v="151"/>
    <s v="Marketing"/>
    <n v="3152.38"/>
    <n v="4778.1499999999996"/>
    <x v="0"/>
  </r>
  <r>
    <s v="Mettler-Toledo, LLC - MTI"/>
    <s v="MTMO-US"/>
    <s v="TOP_12"/>
    <x v="151"/>
    <s v="Promotion"/>
    <n v="192"/>
    <n v="136"/>
    <x v="0"/>
  </r>
  <r>
    <s v="Mettler-Toledo, LLC - MTI"/>
    <s v="MTMO-US"/>
    <s v="TOP_12"/>
    <x v="151"/>
    <s v="General &amp; Admin"/>
    <n v="37864.519999999997"/>
    <n v="22933.55"/>
    <x v="0"/>
  </r>
  <r>
    <s v="Mettler-Toledo, LLC - MTI"/>
    <s v="MTMO-US"/>
    <s v="TOP_16"/>
    <x v="152"/>
    <s v="Logistics&amp;Purch. Costs"/>
    <n v="-141204.34"/>
    <n v="-8274.59"/>
    <x v="0"/>
  </r>
  <r>
    <s v="Mettler-Toledo, LLC - MTI"/>
    <s v="MTMO-US"/>
    <s v="TOP_16"/>
    <x v="152"/>
    <s v="Service"/>
    <n v="-1788411.62"/>
    <n v="-572564.26"/>
    <x v="0"/>
  </r>
  <r>
    <s v="Mettler-Toledo, LLC - MTI"/>
    <s v="MTMO-US"/>
    <s v="TOP_16"/>
    <x v="152"/>
    <s v="Marketing"/>
    <n v="-6291474.4900000002"/>
    <n v="44656.76"/>
    <x v="0"/>
  </r>
  <r>
    <s v="Mettler-Toledo, LLC - MTI"/>
    <s v="MTMO-US"/>
    <s v="TOP_16"/>
    <x v="152"/>
    <s v="Promotion"/>
    <n v="-139752.34"/>
    <n v="0"/>
    <x v="0"/>
  </r>
  <r>
    <s v="Mettler-Toledo, LLC - MTI"/>
    <s v="MTMO-US"/>
    <s v="TOP_16"/>
    <x v="152"/>
    <s v="General &amp; Admin"/>
    <n v="-875253.86"/>
    <n v="-10580.92"/>
    <x v="0"/>
  </r>
  <r>
    <s v="Mettler-Toledo, LLC - MTI"/>
    <s v="MTMO-US"/>
    <s v="TOP_16_01"/>
    <x v="153"/>
    <s v="Logistics&amp;Purch. Costs"/>
    <n v="37.96"/>
    <n v="-14.63"/>
    <x v="0"/>
  </r>
  <r>
    <s v="Mettler-Toledo, LLC - MTI"/>
    <s v="MTMO-US"/>
    <s v="TOP_16_01"/>
    <x v="153"/>
    <s v="Service"/>
    <n v="99873.37"/>
    <n v="-8848.61"/>
    <x v="0"/>
  </r>
  <r>
    <s v="Mettler-Toledo, LLC - MTI"/>
    <s v="MTMO-US"/>
    <s v="TOP_16_01"/>
    <x v="153"/>
    <s v="Marketing"/>
    <n v="95450.7"/>
    <n v="49384.77"/>
    <x v="0"/>
  </r>
  <r>
    <s v="Mettler-Toledo, LLC - MTI"/>
    <s v="MTMO-US"/>
    <s v="TOP_16_01"/>
    <x v="153"/>
    <s v="Promotion"/>
    <n v="241.67"/>
    <m/>
    <x v="0"/>
  </r>
  <r>
    <s v="Mettler-Toledo, LLC - MTI"/>
    <s v="MTMO-US"/>
    <s v="TOP_16_01"/>
    <x v="153"/>
    <s v="General &amp; Admin"/>
    <n v="-11879.5"/>
    <n v="16054.75"/>
    <x v="0"/>
  </r>
  <r>
    <s v="Mettler-Toledo, LLC - MTI"/>
    <s v="MTMO-US"/>
    <s v="TOP_16_02"/>
    <x v="153"/>
    <s v="Logistics&amp;Purch. Costs"/>
    <n v="-141242.29999999999"/>
    <n v="-8259.9599999999991"/>
    <x v="0"/>
  </r>
  <r>
    <s v="Mettler-Toledo, LLC - MTI"/>
    <s v="MTMO-US"/>
    <s v="TOP_16_02"/>
    <x v="153"/>
    <s v="Service"/>
    <n v="-1888284.99"/>
    <n v="-563715.65"/>
    <x v="0"/>
  </r>
  <r>
    <s v="Mettler-Toledo, LLC - MTI"/>
    <s v="MTMO-US"/>
    <s v="TOP_16_02"/>
    <x v="153"/>
    <s v="Marketing"/>
    <n v="-6386925.1900000004"/>
    <n v="-4728.01"/>
    <x v="0"/>
  </r>
  <r>
    <s v="Mettler-Toledo, LLC - MTI"/>
    <s v="MTMO-US"/>
    <s v="TOP_16_02"/>
    <x v="153"/>
    <s v="Promotion"/>
    <n v="-139994.01"/>
    <n v="0"/>
    <x v="0"/>
  </r>
  <r>
    <s v="Mettler-Toledo, LLC - MTI"/>
    <s v="MTMO-US"/>
    <s v="TOP_16_02"/>
    <x v="153"/>
    <s v="General &amp; Admin"/>
    <n v="-863374.36"/>
    <n v="-26635.67"/>
    <x v="0"/>
  </r>
  <r>
    <s v="Mettler-Toledo, LLC - MTI"/>
    <s v="MTMO-US"/>
    <s v="TOP_14"/>
    <x v="154"/>
    <s v="Logistics&amp;Purch. Costs"/>
    <n v="-11441.29"/>
    <n v="-5651.42"/>
    <x v="0"/>
  </r>
  <r>
    <s v="Mettler-Toledo, LLC - MTI"/>
    <s v="MTMO-US"/>
    <s v="TOP_14"/>
    <x v="154"/>
    <s v="Service"/>
    <n v="93964.800000000003"/>
    <n v="-34272.949999999997"/>
    <x v="0"/>
  </r>
  <r>
    <s v="Mettler-Toledo, LLC - MTI"/>
    <s v="MTMO-US"/>
    <s v="TOP_14"/>
    <x v="154"/>
    <s v="Marketing"/>
    <n v="10152.049999999999"/>
    <n v="-12474.98"/>
    <x v="0"/>
  </r>
  <r>
    <s v="Mettler-Toledo, LLC - MTI"/>
    <s v="MTMO-US"/>
    <s v="TOP_14"/>
    <x v="154"/>
    <s v="General &amp; Admin"/>
    <n v="145273.49"/>
    <n v="141083.70000000001"/>
    <x v="0"/>
  </r>
  <r>
    <s v="Mettler-Toledo, LLC - MTI"/>
    <s v="MTMO-US"/>
    <s v="Not Assigned Cost Element (s)"/>
    <x v="155"/>
    <s v="Fixed Manufacturing Costs"/>
    <n v="0"/>
    <n v="-12733.13"/>
    <x v="0"/>
  </r>
  <r>
    <s v="Mettler-Toledo, LLC - MTI"/>
    <s v="MTMO-US"/>
    <s v="Not Assigned Cost Element (s)"/>
    <x v="155"/>
    <s v="Logistics&amp;Purch. Costs"/>
    <n v="0"/>
    <n v="-109668.42"/>
    <x v="0"/>
  </r>
  <r>
    <s v="Mettler-Toledo, LLC - MTI"/>
    <s v="MTMO-US"/>
    <s v="Not Assigned Cost Element (s)"/>
    <x v="155"/>
    <s v="Service"/>
    <n v="-6005931.2999999998"/>
    <n v="-6188612.8499999996"/>
    <x v="0"/>
  </r>
  <r>
    <s v="Mettler-Toledo, LLC - MTI"/>
    <s v="MTMO-US"/>
    <s v="Not Assigned Cost Element (s)"/>
    <x v="155"/>
    <s v="Marketing"/>
    <n v="-50112.72"/>
    <n v="-5421838.4299999997"/>
    <x v="0"/>
  </r>
  <r>
    <s v="Mettler-Toledo, LLC - MTI"/>
    <s v="MTMO-US"/>
    <s v="Not Assigned Cost Element (s)"/>
    <x v="155"/>
    <s v="Promotion"/>
    <m/>
    <n v="-99431.43"/>
    <x v="0"/>
  </r>
  <r>
    <s v="Mettler-Toledo, LLC - MTI"/>
    <s v="MTMO-US"/>
    <s v="Not Assigned Cost Element (s)"/>
    <x v="155"/>
    <s v="General &amp; Admin"/>
    <n v="-31844.23"/>
    <n v="-901214.67"/>
    <x v="0"/>
  </r>
  <r>
    <m/>
    <m/>
    <m/>
    <x v="156"/>
    <m/>
    <m/>
    <m/>
    <x v="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2">
  <r>
    <s v="Mettler-Toledo, LLC - MTI"/>
    <s v="MTMO-US"/>
    <s v="TOP"/>
    <s v="Total Period Expense"/>
    <s v="Logistics&amp;Purch. Costs"/>
    <n v="0"/>
    <n v="101408.46"/>
  </r>
  <r>
    <s v="Mettler-Toledo, LLC - MTI"/>
    <s v="MTMO-US"/>
    <s v="TOP"/>
    <s v="Total Period Expense"/>
    <s v="Service"/>
    <n v="5568805.5199999996"/>
    <n v="5883161.9800000004"/>
  </r>
  <r>
    <s v="Mettler-Toledo, LLC - MTI"/>
    <s v="MTMO-US"/>
    <s v="TOP"/>
    <s v="Total Period Expense"/>
    <s v="Marketing"/>
    <n v="123953.46"/>
    <n v="5513403.75"/>
  </r>
  <r>
    <s v="Mettler-Toledo, LLC - MTI"/>
    <s v="MTMO-US"/>
    <s v="TOP"/>
    <s v="Total Period Expense"/>
    <s v="Promotion"/>
    <n v="0"/>
    <n v="99431.43"/>
  </r>
  <r>
    <s v="Mettler-Toledo, LLC - MTI"/>
    <s v="MTMO-US"/>
    <s v="TOP"/>
    <s v="Total Period Expense"/>
    <s v="General &amp; Admin"/>
    <n v="-84715.79"/>
    <n v="908120.09"/>
  </r>
  <r>
    <s v="Mettler-Toledo, LLC - MTI"/>
    <s v="MTMO-US"/>
    <s v="TOP_00"/>
    <s v="Total PEX ex-Bonus/C"/>
    <s v="Logistics&amp;Purch. Costs"/>
    <n v="-11456.6"/>
    <n v="103990.79"/>
  </r>
  <r>
    <s v="Mettler-Toledo, LLC - MTI"/>
    <s v="MTMO-US"/>
    <s v="TOP_00"/>
    <s v="Total PEX ex-Bonus/C"/>
    <s v="Service"/>
    <n v="5148238.7699999996"/>
    <n v="5665948.71"/>
  </r>
  <r>
    <s v="Mettler-Toledo, LLC - MTI"/>
    <s v="MTMO-US"/>
    <s v="TOP_00"/>
    <s v="Total PEX ex-Bonus/C"/>
    <s v="Marketing"/>
    <n v="-1253672.8500000001"/>
    <n v="4488875.51"/>
  </r>
  <r>
    <s v="Mettler-Toledo, LLC - MTI"/>
    <s v="MTMO-US"/>
    <s v="TOP_00"/>
    <s v="Total PEX ex-Bonus/C"/>
    <s v="Promotion"/>
    <n v="0"/>
    <n v="99431.43"/>
  </r>
  <r>
    <s v="Mettler-Toledo, LLC - MTI"/>
    <s v="MTMO-US"/>
    <s v="TOP_00"/>
    <s v="Total PEX ex-Bonus/C"/>
    <s v="General &amp; Admin"/>
    <n v="-119623.54"/>
    <n v="895376.05"/>
  </r>
  <r>
    <s v="Mettler-Toledo, LLC - MTI"/>
    <s v="MTMO-US"/>
    <s v="7210100"/>
    <s v="Building Rent"/>
    <s v="Logistics&amp;Purch. Costs"/>
    <n v="2780.41"/>
    <m/>
  </r>
  <r>
    <s v="Mettler-Toledo, LLC - MTI"/>
    <s v="MTMO-US"/>
    <s v="7210100"/>
    <s v="Building Rent"/>
    <s v="Service"/>
    <n v="50616.63"/>
    <n v="23867.78"/>
  </r>
  <r>
    <s v="Mettler-Toledo, LLC - MTI"/>
    <s v="MTMO-US"/>
    <s v="7210100"/>
    <s v="Building Rent"/>
    <s v="Marketing"/>
    <n v="85371.63"/>
    <n v="90234.69"/>
  </r>
  <r>
    <s v="Mettler-Toledo, LLC - MTI"/>
    <s v="MTMO-US"/>
    <s v="7210100"/>
    <s v="Building Rent"/>
    <s v="General &amp; Admin"/>
    <m/>
    <m/>
  </r>
  <r>
    <s v="Mettler-Toledo, LLC - MTI"/>
    <s v="MTMO-US"/>
    <s v="7210110"/>
    <s v="Mov. Assets Rent"/>
    <s v="General &amp; Admin"/>
    <m/>
    <m/>
  </r>
  <r>
    <s v="Mettler-Toledo, LLC - MTI"/>
    <s v="MTMO-US"/>
    <s v="7210111"/>
    <s v="MaintBuilding-Leased"/>
    <s v="Logistics&amp;Purch. Costs"/>
    <n v="-2871.71"/>
    <m/>
  </r>
  <r>
    <s v="Mettler-Toledo, LLC - MTI"/>
    <s v="MTMO-US"/>
    <s v="7210111"/>
    <s v="MaintBuilding-Leased"/>
    <s v="Service"/>
    <n v="-2426.86"/>
    <n v="3048.2"/>
  </r>
  <r>
    <s v="Mettler-Toledo, LLC - MTI"/>
    <s v="MTMO-US"/>
    <s v="7210111"/>
    <s v="MaintBuilding-Leased"/>
    <s v="Marketing"/>
    <n v="1836.22"/>
    <n v="332.95"/>
  </r>
  <r>
    <s v="Mettler-Toledo, LLC - MTI"/>
    <s v="MTMO-US"/>
    <s v="7210111"/>
    <s v="MaintBuilding-Leased"/>
    <s v="General &amp; Admin"/>
    <n v="77936.72"/>
    <n v="98177.04"/>
  </r>
  <r>
    <s v="Mettler-Toledo, LLC - MTI"/>
    <s v="MTMO-US"/>
    <s v="7210112"/>
    <s v="Utility-Elect-Leased"/>
    <s v="Service"/>
    <n v="1235.79"/>
    <n v="1035.57"/>
  </r>
  <r>
    <s v="Mettler-Toledo, LLC - MTI"/>
    <s v="MTMO-US"/>
    <s v="7210112"/>
    <s v="Utility-Elect-Leased"/>
    <s v="Marketing"/>
    <n v="94.3"/>
    <n v="79.33"/>
  </r>
  <r>
    <s v="Mettler-Toledo, LLC - MTI"/>
    <s v="MTMO-US"/>
    <s v="7210113"/>
    <s v="Utility-NatGas-Lease"/>
    <s v="Service"/>
    <n v="101.29"/>
    <n v="126.35"/>
  </r>
  <r>
    <s v="Mettler-Toledo, LLC - MTI"/>
    <s v="MTMO-US"/>
    <s v="7210114"/>
    <s v="Util-WatSewer-Lease"/>
    <s v="Service"/>
    <n v="104.74"/>
    <n v="172.52"/>
  </r>
  <r>
    <s v="Mettler-Toledo, LLC - MTI"/>
    <s v="MTMO-US"/>
    <s v="7210115"/>
    <s v="Utility-Other-Leased"/>
    <s v="Service"/>
    <n v="690"/>
    <n v="294.14999999999998"/>
  </r>
  <r>
    <s v="Mettler-Toledo, LLC - MTI"/>
    <s v="MTMO-US"/>
    <s v="7210116"/>
    <s v="RealEstateTax-Leased"/>
    <s v="Service"/>
    <m/>
    <m/>
  </r>
  <r>
    <s v="Mettler-Toledo, LLC - MTI"/>
    <s v="MTMO-US"/>
    <s v="7210117"/>
    <s v="PropertyInsure-Lease"/>
    <s v="Service"/>
    <m/>
    <m/>
  </r>
  <r>
    <s v="Mettler-Toledo, LLC - MTI"/>
    <s v="MTMO-US"/>
    <s v="7210117"/>
    <s v="PropertyInsure-Lease"/>
    <s v="Marketing"/>
    <m/>
    <m/>
  </r>
  <r>
    <s v="Mettler-Toledo, LLC - MTI"/>
    <s v="MTMO-US"/>
    <s v="7210118"/>
    <s v="ST LsEx-RealEst-Leas"/>
    <s v="Service"/>
    <n v="4443.17"/>
    <n v="5556.77"/>
  </r>
  <r>
    <s v="Mettler-Toledo, LLC - MTI"/>
    <s v="MTMO-US"/>
    <s v="7210118"/>
    <s v="ST LsEx-RealEst-Leas"/>
    <s v="Marketing"/>
    <n v="1152.08"/>
    <n v="1289.45"/>
  </r>
  <r>
    <s v="Mettler-Toledo, LLC - MTI"/>
    <s v="MTMO-US"/>
    <s v="7210119"/>
    <s v="LseNotCap-RealEstExp"/>
    <s v="Service"/>
    <n v="15251.33"/>
    <n v="11886.71"/>
  </r>
  <r>
    <s v="Mettler-Toledo, LLC - MTI"/>
    <s v="MTMO-US"/>
    <s v="7210119"/>
    <s v="LseNotCap-RealEstExp"/>
    <s v="Marketing"/>
    <n v="2866.7"/>
    <n v="2898.72"/>
  </r>
  <r>
    <s v="Mettler-Toledo, LLC - MTI"/>
    <s v="MTMO-US"/>
    <s v="7210119"/>
    <s v="LseNotCap-RealEstExp"/>
    <s v="General &amp; Admin"/>
    <m/>
    <n v="90"/>
  </r>
  <r>
    <s v="Mettler-Toledo, LLC - MTI"/>
    <s v="MTMO-US"/>
    <s v="7210200"/>
    <s v="Maintenance Building"/>
    <s v="Service"/>
    <n v="3661.88"/>
    <n v="2540.5700000000002"/>
  </r>
  <r>
    <s v="Mettler-Toledo, LLC - MTI"/>
    <s v="MTMO-US"/>
    <s v="7210200"/>
    <s v="Maintenance Building"/>
    <s v="Marketing"/>
    <n v="524.84"/>
    <n v="1763.27"/>
  </r>
  <r>
    <s v="Mettler-Toledo, LLC - MTI"/>
    <s v="MTMO-US"/>
    <s v="7210200"/>
    <s v="Maintenance Building"/>
    <s v="General &amp; Admin"/>
    <n v="12024.4"/>
    <n v="9108.3799999999992"/>
  </r>
  <r>
    <s v="Mettler-Toledo, LLC - MTI"/>
    <s v="MTMO-US"/>
    <s v="7210410"/>
    <s v="Utilities - Electric"/>
    <s v="Service"/>
    <n v="1793.86"/>
    <n v="4827.26"/>
  </r>
  <r>
    <s v="Mettler-Toledo, LLC - MTI"/>
    <s v="MTMO-US"/>
    <s v="7210410"/>
    <s v="Utilities - Electric"/>
    <s v="Marketing"/>
    <n v="172.73"/>
    <n v="755.87"/>
  </r>
  <r>
    <s v="Mettler-Toledo, LLC - MTI"/>
    <s v="MTMO-US"/>
    <s v="7210420"/>
    <s v="Utilities - Nat. Gas"/>
    <s v="Service"/>
    <n v="302.98"/>
    <n v="407.03"/>
  </r>
  <r>
    <s v="Mettler-Toledo, LLC - MTI"/>
    <s v="MTMO-US"/>
    <s v="7210420"/>
    <s v="Utilities - Nat. Gas"/>
    <s v="Marketing"/>
    <n v="56.78"/>
    <n v="29.14"/>
  </r>
  <r>
    <s v="Mettler-Toledo, LLC - MTI"/>
    <s v="MTMO-US"/>
    <s v="7210430"/>
    <s v="Utilities Water&amp;Sewr"/>
    <s v="Service"/>
    <n v="137.81"/>
    <n v="429.47"/>
  </r>
  <r>
    <s v="Mettler-Toledo, LLC - MTI"/>
    <s v="MTMO-US"/>
    <s v="7210430"/>
    <s v="Utilities Water&amp;Sewr"/>
    <s v="Marketing"/>
    <m/>
    <m/>
  </r>
  <r>
    <s v="Mettler-Toledo, LLC - MTI"/>
    <s v="MTMO-US"/>
    <s v="7210490"/>
    <s v="Utilities - Other"/>
    <s v="Service"/>
    <n v="4593.09"/>
    <n v="2498.4899999999998"/>
  </r>
  <r>
    <s v="Mettler-Toledo, LLC - MTI"/>
    <s v="MTMO-US"/>
    <s v="7210490"/>
    <s v="Utilities - Other"/>
    <s v="Marketing"/>
    <n v="153"/>
    <n v="575.9"/>
  </r>
  <r>
    <s v="Mettler-Toledo, LLC - MTI"/>
    <s v="MTMO-US"/>
    <s v="7210490"/>
    <s v="Utilities - Other"/>
    <s v="General &amp; Admin"/>
    <m/>
    <m/>
  </r>
  <r>
    <s v="Mettler-Toledo, LLC - MTI"/>
    <s v="MTMO-US"/>
    <s v="7210500"/>
    <s v="Real Estate Tax"/>
    <s v="Service"/>
    <m/>
    <n v="3838.47"/>
  </r>
  <r>
    <s v="Mettler-Toledo, LLC - MTI"/>
    <s v="MTMO-US"/>
    <s v="7210500"/>
    <s v="Real Estate Tax"/>
    <s v="Marketing"/>
    <m/>
    <m/>
  </r>
  <r>
    <s v="Mettler-Toledo, LLC - MTI"/>
    <s v="MTMO-US"/>
    <s v="7210600"/>
    <s v="Property Insurance"/>
    <s v="General &amp; Admin"/>
    <n v="6083.33"/>
    <n v="4987.92"/>
  </r>
  <r>
    <s v="Mettler-Toledo, LLC - MTI"/>
    <s v="MTMO-US"/>
    <s v="7220050"/>
    <s v="Meals/Entertainment"/>
    <s v="Logistics&amp;Purch. Costs"/>
    <n v="-1016.34"/>
    <n v="-114.04"/>
  </r>
  <r>
    <s v="Mettler-Toledo, LLC - MTI"/>
    <s v="MTMO-US"/>
    <s v="7220050"/>
    <s v="Meals/Entertainment"/>
    <s v="Service"/>
    <n v="94614.85"/>
    <n v="56684.07"/>
  </r>
  <r>
    <s v="Mettler-Toledo, LLC - MTI"/>
    <s v="MTMO-US"/>
    <s v="7220050"/>
    <s v="Meals/Entertainment"/>
    <s v="Marketing"/>
    <n v="80987.039999999994"/>
    <n v="58739.16"/>
  </r>
  <r>
    <s v="Mettler-Toledo, LLC - MTI"/>
    <s v="MTMO-US"/>
    <s v="7220050"/>
    <s v="Meals/Entertainment"/>
    <s v="Promotion"/>
    <m/>
    <m/>
  </r>
  <r>
    <s v="Mettler-Toledo, LLC - MTI"/>
    <s v="MTMO-US"/>
    <s v="7220050"/>
    <s v="Meals/Entertainment"/>
    <s v="General &amp; Admin"/>
    <n v="2945.16"/>
    <n v="-43917.16"/>
  </r>
  <r>
    <s v="Mettler-Toledo, LLC - MTI"/>
    <s v="MTMO-US"/>
    <s v="7220100"/>
    <s v="Hotel Accommodations"/>
    <s v="Logistics&amp;Purch. Costs"/>
    <n v="-912.71"/>
    <n v="-3886.16"/>
  </r>
  <r>
    <s v="Mettler-Toledo, LLC - MTI"/>
    <s v="MTMO-US"/>
    <s v="7220100"/>
    <s v="Hotel Accommodations"/>
    <s v="Service"/>
    <n v="178575.44"/>
    <n v="140674.9"/>
  </r>
  <r>
    <s v="Mettler-Toledo, LLC - MTI"/>
    <s v="MTMO-US"/>
    <s v="7220100"/>
    <s v="Hotel Accommodations"/>
    <s v="Marketing"/>
    <n v="106643.26"/>
    <n v="82613.08"/>
  </r>
  <r>
    <s v="Mettler-Toledo, LLC - MTI"/>
    <s v="MTMO-US"/>
    <s v="7220100"/>
    <s v="Hotel Accommodations"/>
    <s v="Promotion"/>
    <m/>
    <m/>
  </r>
  <r>
    <s v="Mettler-Toledo, LLC - MTI"/>
    <s v="MTMO-US"/>
    <s v="7220100"/>
    <s v="Hotel Accommodations"/>
    <s v="General &amp; Admin"/>
    <n v="8839.43"/>
    <n v="883.42"/>
  </r>
  <r>
    <s v="Mettler-Toledo, LLC - MTI"/>
    <s v="MTMO-US"/>
    <s v="7220150"/>
    <s v="Airfare"/>
    <s v="Logistics&amp;Purch. Costs"/>
    <n v="2437.2800000000002"/>
    <n v="-2953.35"/>
  </r>
  <r>
    <s v="Mettler-Toledo, LLC - MTI"/>
    <s v="MTMO-US"/>
    <s v="7220150"/>
    <s v="Airfare"/>
    <s v="Service"/>
    <n v="63335.95"/>
    <n v="45245.279999999999"/>
  </r>
  <r>
    <s v="Mettler-Toledo, LLC - MTI"/>
    <s v="MTMO-US"/>
    <s v="7220150"/>
    <s v="Airfare"/>
    <s v="Marketing"/>
    <n v="98423.03"/>
    <n v="82656.88"/>
  </r>
  <r>
    <s v="Mettler-Toledo, LLC - MTI"/>
    <s v="MTMO-US"/>
    <s v="7220150"/>
    <s v="Airfare"/>
    <s v="Promotion"/>
    <m/>
    <m/>
  </r>
  <r>
    <s v="Mettler-Toledo, LLC - MTI"/>
    <s v="MTMO-US"/>
    <s v="7220150"/>
    <s v="Airfare"/>
    <s v="General &amp; Admin"/>
    <n v="4388.09"/>
    <n v="529.91999999999996"/>
  </r>
  <r>
    <s v="Mettler-Toledo, LLC - MTI"/>
    <s v="MTMO-US"/>
    <s v="7220250"/>
    <s v="Other Transportation"/>
    <s v="Logistics&amp;Purch. Costs"/>
    <n v="20.27"/>
    <n v="-9.7799999999999994"/>
  </r>
  <r>
    <s v="Mettler-Toledo, LLC - MTI"/>
    <s v="MTMO-US"/>
    <s v="7220250"/>
    <s v="Other Transportation"/>
    <s v="Service"/>
    <n v="11503.21"/>
    <n v="14244.06"/>
  </r>
  <r>
    <s v="Mettler-Toledo, LLC - MTI"/>
    <s v="MTMO-US"/>
    <s v="7220250"/>
    <s v="Other Transportation"/>
    <s v="Marketing"/>
    <n v="17610.689999999999"/>
    <n v="13058.08"/>
  </r>
  <r>
    <s v="Mettler-Toledo, LLC - MTI"/>
    <s v="MTMO-US"/>
    <s v="7220250"/>
    <s v="Other Transportation"/>
    <s v="Promotion"/>
    <m/>
    <m/>
  </r>
  <r>
    <s v="Mettler-Toledo, LLC - MTI"/>
    <s v="MTMO-US"/>
    <s v="7220250"/>
    <s v="Other Transportation"/>
    <s v="General &amp; Admin"/>
    <n v="224.42"/>
    <n v="323"/>
  </r>
  <r>
    <s v="Mettler-Toledo, LLC - MTI"/>
    <s v="MTMO-US"/>
    <s v="7220300"/>
    <s v="Auto Rental"/>
    <s v="Logistics&amp;Purch. Costs"/>
    <n v="268.45999999999998"/>
    <n v="353.08"/>
  </r>
  <r>
    <s v="Mettler-Toledo, LLC - MTI"/>
    <s v="MTMO-US"/>
    <s v="7220300"/>
    <s v="Auto Rental"/>
    <s v="Service"/>
    <n v="13862.97"/>
    <n v="16251.28"/>
  </r>
  <r>
    <s v="Mettler-Toledo, LLC - MTI"/>
    <s v="MTMO-US"/>
    <s v="7220300"/>
    <s v="Auto Rental"/>
    <s v="Marketing"/>
    <n v="9265.5300000000007"/>
    <n v="14959.72"/>
  </r>
  <r>
    <s v="Mettler-Toledo, LLC - MTI"/>
    <s v="MTMO-US"/>
    <s v="7220300"/>
    <s v="Auto Rental"/>
    <s v="General &amp; Admin"/>
    <n v="0"/>
    <n v="0"/>
  </r>
  <r>
    <s v="Mettler-Toledo, LLC - MTI"/>
    <s v="MTMO-US"/>
    <s v="7220350"/>
    <s v="Mileage/Km Reimburse"/>
    <s v="Logistics&amp;Purch. Costs"/>
    <m/>
    <m/>
  </r>
  <r>
    <s v="Mettler-Toledo, LLC - MTI"/>
    <s v="MTMO-US"/>
    <s v="7220350"/>
    <s v="Mileage/Km Reimburse"/>
    <s v="Service"/>
    <n v="707.7"/>
    <n v="115.24"/>
  </r>
  <r>
    <s v="Mettler-Toledo, LLC - MTI"/>
    <s v="MTMO-US"/>
    <s v="7220350"/>
    <s v="Mileage/Km Reimburse"/>
    <s v="Marketing"/>
    <n v="1201.2"/>
    <n v="3687.68"/>
  </r>
  <r>
    <s v="Mettler-Toledo, LLC - MTI"/>
    <s v="MTMO-US"/>
    <s v="7220350"/>
    <s v="Mileage/Km Reimburse"/>
    <s v="General &amp; Admin"/>
    <m/>
    <m/>
  </r>
  <r>
    <s v="Mettler-Toledo, LLC - MTI"/>
    <s v="MTMO-US"/>
    <s v="7220800"/>
    <s v="Meetings Exp"/>
    <s v="Logistics&amp;Purch. Costs"/>
    <m/>
    <m/>
  </r>
  <r>
    <s v="Mettler-Toledo, LLC - MTI"/>
    <s v="MTMO-US"/>
    <s v="7220800"/>
    <s v="Meetings Exp"/>
    <s v="Service"/>
    <n v="3138.34"/>
    <n v="328.58"/>
  </r>
  <r>
    <s v="Mettler-Toledo, LLC - MTI"/>
    <s v="MTMO-US"/>
    <s v="7220800"/>
    <s v="Meetings Exp"/>
    <s v="Marketing"/>
    <n v="33063.49"/>
    <n v="21371.8"/>
  </r>
  <r>
    <s v="Mettler-Toledo, LLC - MTI"/>
    <s v="MTMO-US"/>
    <s v="7220800"/>
    <s v="Meetings Exp"/>
    <s v="General &amp; Admin"/>
    <m/>
    <n v="2500"/>
  </r>
  <r>
    <s v="Mettler-Toledo, LLC - MTI"/>
    <s v="MTMO-US"/>
    <s v="7220900"/>
    <s v="Other Trav. &amp; Enter."/>
    <s v="Logistics&amp;Purch. Costs"/>
    <n v="-790.47"/>
    <n v="-38.4"/>
  </r>
  <r>
    <s v="Mettler-Toledo, LLC - MTI"/>
    <s v="MTMO-US"/>
    <s v="7220900"/>
    <s v="Other Trav. &amp; Enter."/>
    <s v="Service"/>
    <n v="2036.07"/>
    <n v="1612.11"/>
  </r>
  <r>
    <s v="Mettler-Toledo, LLC - MTI"/>
    <s v="MTMO-US"/>
    <s v="7220900"/>
    <s v="Other Trav. &amp; Enter."/>
    <s v="Marketing"/>
    <n v="-10894.9"/>
    <n v="-3897.99"/>
  </r>
  <r>
    <s v="Mettler-Toledo, LLC - MTI"/>
    <s v="MTMO-US"/>
    <s v="7220900"/>
    <s v="Other Trav. &amp; Enter."/>
    <s v="General &amp; Admin"/>
    <n v="1327.84"/>
    <n v="33.94"/>
  </r>
  <r>
    <s v="Mettler-Toledo, LLC - MTI"/>
    <s v="MTMO-US"/>
    <s v="7230050"/>
    <s v="Vehicle Leasing"/>
    <s v="Logistics&amp;Purch. Costs"/>
    <m/>
    <m/>
  </r>
  <r>
    <s v="Mettler-Toledo, LLC - MTI"/>
    <s v="MTMO-US"/>
    <s v="7230050"/>
    <s v="Vehicle Leasing"/>
    <s v="Service"/>
    <n v="153208.47"/>
    <n v="54605.120000000003"/>
  </r>
  <r>
    <s v="Mettler-Toledo, LLC - MTI"/>
    <s v="MTMO-US"/>
    <s v="7230050"/>
    <s v="Vehicle Leasing"/>
    <s v="Marketing"/>
    <n v="67628.66"/>
    <n v="27698.75"/>
  </r>
  <r>
    <s v="Mettler-Toledo, LLC - MTI"/>
    <s v="MTMO-US"/>
    <s v="7230050"/>
    <s v="Vehicle Leasing"/>
    <s v="General &amp; Admin"/>
    <n v="64243.81"/>
    <n v="23315.32"/>
  </r>
  <r>
    <s v="Mettler-Toledo, LLC - MTI"/>
    <s v="MTMO-US"/>
    <s v="7230055"/>
    <s v="VehLeaseExp-Variable"/>
    <s v="Logistics&amp;Purch. Costs"/>
    <n v="558.37"/>
    <n v="464.97"/>
  </r>
  <r>
    <s v="Mettler-Toledo, LLC - MTI"/>
    <s v="MTMO-US"/>
    <s v="7230055"/>
    <s v="VehLeaseExp-Variable"/>
    <s v="Service"/>
    <n v="283809.99"/>
    <n v="259493.08"/>
  </r>
  <r>
    <s v="Mettler-Toledo, LLC - MTI"/>
    <s v="MTMO-US"/>
    <s v="7230055"/>
    <s v="VehLeaseExp-Variable"/>
    <s v="Marketing"/>
    <n v="65952.02"/>
    <n v="81391.520000000004"/>
  </r>
  <r>
    <s v="Mettler-Toledo, LLC - MTI"/>
    <s v="MTMO-US"/>
    <s v="7230055"/>
    <s v="VehLeaseExp-Variable"/>
    <s v="General &amp; Admin"/>
    <n v="-13433.13"/>
    <n v="99833.91"/>
  </r>
  <r>
    <s v="Mettler-Toledo, LLC - MTI"/>
    <s v="MTMO-US"/>
    <s v="7230060"/>
    <s v="Vehicle Rental"/>
    <s v="Service"/>
    <n v="18826.03"/>
    <m/>
  </r>
  <r>
    <s v="Mettler-Toledo, LLC - MTI"/>
    <s v="MTMO-US"/>
    <s v="7230060"/>
    <s v="Vehicle Rental"/>
    <s v="Marketing"/>
    <n v="7097.22"/>
    <m/>
  </r>
  <r>
    <s v="Mettler-Toledo, LLC - MTI"/>
    <s v="MTMO-US"/>
    <s v="7230060"/>
    <s v="Vehicle Rental"/>
    <s v="General &amp; Admin"/>
    <n v="9534.33"/>
    <m/>
  </r>
  <r>
    <s v="Mettler-Toledo, LLC - MTI"/>
    <s v="MTMO-US"/>
    <s v="7230100"/>
    <s v="Vehicle Fuel"/>
    <s v="Logistics&amp;Purch. Costs"/>
    <n v="0"/>
    <n v="44.78"/>
  </r>
  <r>
    <s v="Mettler-Toledo, LLC - MTI"/>
    <s v="MTMO-US"/>
    <s v="7230100"/>
    <s v="Vehicle Fuel"/>
    <s v="Service"/>
    <n v="193529.52"/>
    <n v="236041.27"/>
  </r>
  <r>
    <s v="Mettler-Toledo, LLC - MTI"/>
    <s v="MTMO-US"/>
    <s v="7230100"/>
    <s v="Vehicle Fuel"/>
    <s v="Marketing"/>
    <n v="28334.59"/>
    <n v="32852.6"/>
  </r>
  <r>
    <s v="Mettler-Toledo, LLC - MTI"/>
    <s v="MTMO-US"/>
    <s v="7230100"/>
    <s v="Vehicle Fuel"/>
    <s v="General &amp; Admin"/>
    <n v="58520.82"/>
    <n v="69774.3"/>
  </r>
  <r>
    <s v="Mettler-Toledo, LLC - MTI"/>
    <s v="MTMO-US"/>
    <s v="7230150"/>
    <s v="Vehicle Insurance"/>
    <s v="Logistics&amp;Purch. Costs"/>
    <n v="162.88"/>
    <n v="143.86000000000001"/>
  </r>
  <r>
    <s v="Mettler-Toledo, LLC - MTI"/>
    <s v="MTMO-US"/>
    <s v="7230150"/>
    <s v="Vehicle Insurance"/>
    <s v="Service"/>
    <n v="96751.17"/>
    <n v="83010.039999999994"/>
  </r>
  <r>
    <s v="Mettler-Toledo, LLC - MTI"/>
    <s v="MTMO-US"/>
    <s v="7230150"/>
    <s v="Vehicle Insurance"/>
    <s v="Marketing"/>
    <n v="31110.2"/>
    <n v="26327.02"/>
  </r>
  <r>
    <s v="Mettler-Toledo, LLC - MTI"/>
    <s v="MTMO-US"/>
    <s v="7230150"/>
    <s v="Vehicle Insurance"/>
    <s v="General &amp; Admin"/>
    <m/>
    <n v="143.86000000000001"/>
  </r>
  <r>
    <s v="Mettler-Toledo, LLC - MTI"/>
    <s v="MTMO-US"/>
    <s v="7230200"/>
    <s v="Vehicle Maint."/>
    <s v="Logistics&amp;Purch. Costs"/>
    <n v="-39.93"/>
    <n v="-231.33"/>
  </r>
  <r>
    <s v="Mettler-Toledo, LLC - MTI"/>
    <s v="MTMO-US"/>
    <s v="7230200"/>
    <s v="Vehicle Maint."/>
    <s v="Service"/>
    <n v="198532.53"/>
    <n v="231827.39"/>
  </r>
  <r>
    <s v="Mettler-Toledo, LLC - MTI"/>
    <s v="MTMO-US"/>
    <s v="7230200"/>
    <s v="Vehicle Maint."/>
    <s v="Marketing"/>
    <n v="35559.040000000001"/>
    <n v="5759.44"/>
  </r>
  <r>
    <s v="Mettler-Toledo, LLC - MTI"/>
    <s v="MTMO-US"/>
    <s v="7230200"/>
    <s v="Vehicle Maint."/>
    <s v="General &amp; Admin"/>
    <n v="48908.92"/>
    <n v="37794.82"/>
  </r>
  <r>
    <s v="Mettler-Toledo, LLC - MTI"/>
    <s v="MTMO-US"/>
    <s v="7230250"/>
    <s v="Vehicle Other"/>
    <s v="Logistics&amp;Purch. Costs"/>
    <n v="1.5"/>
    <n v="234"/>
  </r>
  <r>
    <s v="Mettler-Toledo, LLC - MTI"/>
    <s v="MTMO-US"/>
    <s v="7230250"/>
    <s v="Vehicle Other"/>
    <s v="Service"/>
    <n v="139527.34"/>
    <n v="59158.2"/>
  </r>
  <r>
    <s v="Mettler-Toledo, LLC - MTI"/>
    <s v="MTMO-US"/>
    <s v="7230250"/>
    <s v="Vehicle Other"/>
    <s v="Marketing"/>
    <n v="14781.39"/>
    <n v="-39060.160000000003"/>
  </r>
  <r>
    <s v="Mettler-Toledo, LLC - MTI"/>
    <s v="MTMO-US"/>
    <s v="7230250"/>
    <s v="Vehicle Other"/>
    <s v="General &amp; Admin"/>
    <n v="-211173.06"/>
    <n v="-67681.320000000007"/>
  </r>
  <r>
    <s v="Mettler-Toledo, LLC - MTI"/>
    <s v="MTMO-US"/>
    <s v="7240050"/>
    <s v="Data networking cst"/>
    <s v="Service"/>
    <n v="494.34"/>
    <m/>
  </r>
  <r>
    <s v="Mettler-Toledo, LLC - MTI"/>
    <s v="MTMO-US"/>
    <s v="7240100"/>
    <s v="Telecom Mobile"/>
    <s v="Logistics&amp;Purch. Costs"/>
    <n v="570.71"/>
    <n v="523.51"/>
  </r>
  <r>
    <s v="Mettler-Toledo, LLC - MTI"/>
    <s v="MTMO-US"/>
    <s v="7240100"/>
    <s v="Telecom Mobile"/>
    <s v="Service"/>
    <n v="32303.53"/>
    <n v="31263.9"/>
  </r>
  <r>
    <s v="Mettler-Toledo, LLC - MTI"/>
    <s v="MTMO-US"/>
    <s v="7240100"/>
    <s v="Telecom Mobile"/>
    <s v="Marketing"/>
    <n v="18646.169999999998"/>
    <n v="16426.919999999998"/>
  </r>
  <r>
    <s v="Mettler-Toledo, LLC - MTI"/>
    <s v="MTMO-US"/>
    <s v="7240100"/>
    <s v="Telecom Mobile"/>
    <s v="General &amp; Admin"/>
    <n v="1266.51"/>
    <n v="1062.25"/>
  </r>
  <r>
    <s v="Mettler-Toledo, LLC - MTI"/>
    <s v="MTMO-US"/>
    <s v="7240150"/>
    <s v="Telecom Services"/>
    <s v="Logistics&amp;Purch. Costs"/>
    <m/>
    <m/>
  </r>
  <r>
    <s v="Mettler-Toledo, LLC - MTI"/>
    <s v="MTMO-US"/>
    <s v="7240150"/>
    <s v="Telecom Services"/>
    <s v="Service"/>
    <n v="3424.73"/>
    <n v="6573.61"/>
  </r>
  <r>
    <s v="Mettler-Toledo, LLC - MTI"/>
    <s v="MTMO-US"/>
    <s v="7240150"/>
    <s v="Telecom Services"/>
    <s v="Marketing"/>
    <n v="6375.34"/>
    <n v="14715.27"/>
  </r>
  <r>
    <s v="Mettler-Toledo, LLC - MTI"/>
    <s v="MTMO-US"/>
    <s v="7240150"/>
    <s v="Telecom Services"/>
    <s v="General &amp; Admin"/>
    <n v="21533.29"/>
    <n v="13735.27"/>
  </r>
  <r>
    <s v="Mettler-Toledo, LLC - MTI"/>
    <s v="MTMO-US"/>
    <s v="7240200"/>
    <s v="Telephone Local"/>
    <s v="Service"/>
    <n v="961.04"/>
    <m/>
  </r>
  <r>
    <s v="Mettler-Toledo, LLC - MTI"/>
    <s v="MTMO-US"/>
    <s v="7250050"/>
    <s v="R&amp;D Suppl. &amp; Mat'ls"/>
    <s v="Service"/>
    <m/>
    <m/>
  </r>
  <r>
    <s v="Mettler-Toledo, LLC - MTI"/>
    <s v="MTMO-US"/>
    <s v="7250050"/>
    <s v="R&amp;D Suppl. &amp; Mat'ls"/>
    <s v="Marketing"/>
    <m/>
    <m/>
  </r>
  <r>
    <s v="Mettler-Toledo, LLC - MTI"/>
    <s v="MTMO-US"/>
    <s v="7260050"/>
    <s v="SW Maint./Subscript."/>
    <s v="Logistics&amp;Purch. Costs"/>
    <n v="473.03"/>
    <n v="34.22"/>
  </r>
  <r>
    <s v="Mettler-Toledo, LLC - MTI"/>
    <s v="MTMO-US"/>
    <s v="7260050"/>
    <s v="SW Maint./Subscript."/>
    <s v="Service"/>
    <n v="3892.86"/>
    <n v="674.64"/>
  </r>
  <r>
    <s v="Mettler-Toledo, LLC - MTI"/>
    <s v="MTMO-US"/>
    <s v="7260050"/>
    <s v="SW Maint./Subscript."/>
    <s v="Marketing"/>
    <n v="27652.6"/>
    <n v="5353.19"/>
  </r>
  <r>
    <s v="Mettler-Toledo, LLC - MTI"/>
    <s v="MTMO-US"/>
    <s v="7260050"/>
    <s v="SW Maint./Subscript."/>
    <s v="General &amp; Admin"/>
    <n v="9643.58"/>
    <n v="9286.8700000000008"/>
  </r>
  <r>
    <s v="Mettler-Toledo, LLC - MTI"/>
    <s v="MTMO-US"/>
    <s v="7260100"/>
    <s v="IT HW Maintenance"/>
    <s v="Logistics&amp;Purch. Costs"/>
    <n v="0"/>
    <m/>
  </r>
  <r>
    <s v="Mettler-Toledo, LLC - MTI"/>
    <s v="MTMO-US"/>
    <s v="7260100"/>
    <s v="IT HW Maintenance"/>
    <s v="Service"/>
    <n v="-51.13"/>
    <n v="98.57"/>
  </r>
  <r>
    <s v="Mettler-Toledo, LLC - MTI"/>
    <s v="MTMO-US"/>
    <s v="7260100"/>
    <s v="IT HW Maintenance"/>
    <s v="Marketing"/>
    <n v="204.21"/>
    <m/>
  </r>
  <r>
    <s v="Mettler-Toledo, LLC - MTI"/>
    <s v="MTMO-US"/>
    <s v="7260100"/>
    <s v="IT HW Maintenance"/>
    <s v="General &amp; Admin"/>
    <m/>
    <m/>
  </r>
  <r>
    <s v="Mettler-Toledo, LLC - MTI"/>
    <s v="MTMO-US"/>
    <s v="7270050"/>
    <s v="Direct Mail"/>
    <s v="Service"/>
    <m/>
    <m/>
  </r>
  <r>
    <s v="Mettler-Toledo, LLC - MTI"/>
    <s v="MTMO-US"/>
    <s v="7270050"/>
    <s v="Direct Mail"/>
    <s v="Marketing"/>
    <m/>
    <m/>
  </r>
  <r>
    <s v="Mettler-Toledo, LLC - MTI"/>
    <s v="MTMO-US"/>
    <s v="7270050"/>
    <s v="Direct Mail"/>
    <s v="Promotion"/>
    <m/>
    <n v="0"/>
  </r>
  <r>
    <s v="Mettler-Toledo, LLC - MTI"/>
    <s v="MTMO-US"/>
    <s v="7270100"/>
    <s v="Advertising"/>
    <s v="Service"/>
    <n v="251.55"/>
    <n v="7.58"/>
  </r>
  <r>
    <s v="Mettler-Toledo, LLC - MTI"/>
    <s v="MTMO-US"/>
    <s v="7270100"/>
    <s v="Advertising"/>
    <s v="Marketing"/>
    <n v="5320.31"/>
    <n v="12566.53"/>
  </r>
  <r>
    <s v="Mettler-Toledo, LLC - MTI"/>
    <s v="MTMO-US"/>
    <s v="7270100"/>
    <s v="Advertising"/>
    <s v="Promotion"/>
    <n v="43750"/>
    <n v="71908.34"/>
  </r>
  <r>
    <s v="Mettler-Toledo, LLC - MTI"/>
    <s v="MTMO-US"/>
    <s v="7270100"/>
    <s v="Advertising"/>
    <s v="General &amp; Admin"/>
    <m/>
    <m/>
  </r>
  <r>
    <s v="Mettler-Toledo, LLC - MTI"/>
    <s v="MTMO-US"/>
    <s v="7270150"/>
    <s v="Marketing Print"/>
    <s v="Service"/>
    <n v="1066.32"/>
    <m/>
  </r>
  <r>
    <s v="Mettler-Toledo, LLC - MTI"/>
    <s v="MTMO-US"/>
    <s v="7270150"/>
    <s v="Marketing Print"/>
    <s v="Marketing"/>
    <n v="4000.19"/>
    <n v="334.32"/>
  </r>
  <r>
    <s v="Mettler-Toledo, LLC - MTI"/>
    <s v="MTMO-US"/>
    <s v="7270150"/>
    <s v="Marketing Print"/>
    <s v="Promotion"/>
    <n v="1562.5"/>
    <n v="-2365"/>
  </r>
  <r>
    <s v="Mettler-Toledo, LLC - MTI"/>
    <s v="MTMO-US"/>
    <s v="7270150"/>
    <s v="Marketing Print"/>
    <s v="General &amp; Admin"/>
    <m/>
    <m/>
  </r>
  <r>
    <s v="Mettler-Toledo, LLC - MTI"/>
    <s v="MTMO-US"/>
    <s v="7270200"/>
    <s v="Publicity"/>
    <s v="Marketing"/>
    <m/>
    <n v="0"/>
  </r>
  <r>
    <s v="Mettler-Toledo, LLC - MTI"/>
    <s v="MTMO-US"/>
    <s v="7270300"/>
    <s v="Telemarketing"/>
    <s v="Marketing"/>
    <m/>
    <n v="24.59"/>
  </r>
  <r>
    <s v="Mettler-Toledo, LLC - MTI"/>
    <s v="MTMO-US"/>
    <s v="7270350"/>
    <s v="Electronic Marketing"/>
    <s v="Marketing"/>
    <n v="483.56"/>
    <n v="-154.56"/>
  </r>
  <r>
    <s v="Mettler-Toledo, LLC - MTI"/>
    <s v="MTMO-US"/>
    <s v="7270350"/>
    <s v="Electronic Marketing"/>
    <s v="Promotion"/>
    <n v="22298.5"/>
    <n v="27387.09"/>
  </r>
  <r>
    <s v="Mettler-Toledo, LLC - MTI"/>
    <s v="MTMO-US"/>
    <s v="7270400"/>
    <s v="Prom or Rebate Offer"/>
    <s v="Marketing"/>
    <m/>
    <n v="7.35"/>
  </r>
  <r>
    <s v="Mettler-Toledo, LLC - MTI"/>
    <s v="MTMO-US"/>
    <s v="7270450"/>
    <s v="Trade Shows"/>
    <s v="Service"/>
    <m/>
    <m/>
  </r>
  <r>
    <s v="Mettler-Toledo, LLC - MTI"/>
    <s v="MTMO-US"/>
    <s v="7270450"/>
    <s v="Trade Shows"/>
    <s v="Marketing"/>
    <n v="21012.37"/>
    <n v="43508.83"/>
  </r>
  <r>
    <s v="Mettler-Toledo, LLC - MTI"/>
    <s v="MTMO-US"/>
    <s v="7270450"/>
    <s v="Trade Shows"/>
    <s v="Promotion"/>
    <n v="71949.34"/>
    <n v="2365"/>
  </r>
  <r>
    <s v="Mettler-Toledo, LLC - MTI"/>
    <s v="MTMO-US"/>
    <s v="7270500"/>
    <s v="Giveaway Items"/>
    <s v="Service"/>
    <n v="978.79"/>
    <m/>
  </r>
  <r>
    <s v="Mettler-Toledo, LLC - MTI"/>
    <s v="MTMO-US"/>
    <s v="7270500"/>
    <s v="Giveaway Items"/>
    <s v="Marketing"/>
    <n v="1179.3"/>
    <n v="1245.44"/>
  </r>
  <r>
    <s v="Mettler-Toledo, LLC - MTI"/>
    <s v="MTMO-US"/>
    <s v="7270500"/>
    <s v="Giveaway Items"/>
    <s v="Promotion"/>
    <m/>
    <n v="0"/>
  </r>
  <r>
    <s v="Mettler-Toledo, LLC - MTI"/>
    <s v="MTMO-US"/>
    <s v="7270500"/>
    <s v="Giveaway Items"/>
    <s v="General &amp; Admin"/>
    <m/>
    <m/>
  </r>
  <r>
    <s v="Mettler-Toledo, LLC - MTI"/>
    <s v="MTMO-US"/>
    <s v="7270550"/>
    <s v="Catalogs"/>
    <s v="Service"/>
    <n v="66.17"/>
    <n v="-24.5"/>
  </r>
  <r>
    <s v="Mettler-Toledo, LLC - MTI"/>
    <s v="MTMO-US"/>
    <s v="7270550"/>
    <s v="Catalogs"/>
    <s v="Marketing"/>
    <n v="-1242.01"/>
    <n v="49.54"/>
  </r>
  <r>
    <s v="Mettler-Toledo, LLC - MTI"/>
    <s v="MTMO-US"/>
    <s v="7270550"/>
    <s v="Catalogs"/>
    <s v="General &amp; Admin"/>
    <m/>
    <m/>
  </r>
  <r>
    <s v="Mettler-Toledo, LLC - MTI"/>
    <s v="MTMO-US"/>
    <s v="7270800"/>
    <s v="Mktg Translation Exp"/>
    <s v="Marketing"/>
    <m/>
    <n v="0"/>
  </r>
  <r>
    <s v="Mettler-Toledo, LLC - MTI"/>
    <s v="MTMO-US"/>
    <s v="7270900"/>
    <s v="Other Promo Expense"/>
    <s v="Service"/>
    <m/>
    <m/>
  </r>
  <r>
    <s v="Mettler-Toledo, LLC - MTI"/>
    <s v="MTMO-US"/>
    <s v="7270900"/>
    <s v="Other Promo Expense"/>
    <s v="Marketing"/>
    <n v="183.1"/>
    <n v="-295.27"/>
  </r>
  <r>
    <s v="Mettler-Toledo, LLC - MTI"/>
    <s v="MTMO-US"/>
    <s v="7270900"/>
    <s v="Other Promo Expense"/>
    <s v="Promotion"/>
    <m/>
    <m/>
  </r>
  <r>
    <s v="Mettler-Toledo, LLC - MTI"/>
    <s v="MTMO-US"/>
    <s v="7270900"/>
    <s v="Other Promo Expense"/>
    <s v="General &amp; Admin"/>
    <n v="-183.1"/>
    <m/>
  </r>
  <r>
    <s v="Mettler-Toledo, LLC - MTI"/>
    <s v="MTMO-US"/>
    <s v="7280100"/>
    <s v="Ext.Audit &amp; SOX Fees"/>
    <s v="Logistics&amp;Purch. Costs"/>
    <m/>
    <m/>
  </r>
  <r>
    <s v="Mettler-Toledo, LLC - MTI"/>
    <s v="MTMO-US"/>
    <s v="7280100"/>
    <s v="Ext.Audit &amp; SOX Fees"/>
    <s v="General &amp; Admin"/>
    <n v="22363.58"/>
    <n v="21920.83"/>
  </r>
  <r>
    <s v="Mettler-Toledo, LLC - MTI"/>
    <s v="MTMO-US"/>
    <s v="7280900"/>
    <s v="Oth. Ext. Audit Fees"/>
    <s v="Service"/>
    <m/>
    <m/>
  </r>
  <r>
    <s v="Mettler-Toledo, LLC - MTI"/>
    <s v="MTMO-US"/>
    <s v="7290050"/>
    <s v="Tax Prof. Fees"/>
    <s v="Service"/>
    <m/>
    <m/>
  </r>
  <r>
    <s v="Mettler-Toledo, LLC - MTI"/>
    <s v="MTMO-US"/>
    <s v="7290050"/>
    <s v="Tax Prof. Fees"/>
    <s v="Marketing"/>
    <m/>
    <m/>
  </r>
  <r>
    <s v="Mettler-Toledo, LLC - MTI"/>
    <s v="MTMO-US"/>
    <s v="7290100"/>
    <s v="Legal Fees"/>
    <s v="Service"/>
    <n v="28298"/>
    <n v="10797"/>
  </r>
  <r>
    <s v="Mettler-Toledo, LLC - MTI"/>
    <s v="MTMO-US"/>
    <s v="7290100"/>
    <s v="Legal Fees"/>
    <s v="Marketing"/>
    <n v="14826.45"/>
    <n v="11307.77"/>
  </r>
  <r>
    <s v="Mettler-Toledo, LLC - MTI"/>
    <s v="MTMO-US"/>
    <s v="7290100"/>
    <s v="Legal Fees"/>
    <s v="General &amp; Admin"/>
    <n v="7574.5"/>
    <n v="7474.5"/>
  </r>
  <r>
    <s v="Mettler-Toledo, LLC - MTI"/>
    <s v="MTMO-US"/>
    <s v="7290150"/>
    <s v="IT Professional Fees"/>
    <s v="Service"/>
    <n v="839.18"/>
    <m/>
  </r>
  <r>
    <s v="Mettler-Toledo, LLC - MTI"/>
    <s v="MTMO-US"/>
    <s v="7290150"/>
    <s v="IT Professional Fees"/>
    <s v="Marketing"/>
    <n v="0"/>
    <n v="260.99"/>
  </r>
  <r>
    <s v="Mettler-Toledo, LLC - MTI"/>
    <s v="MTMO-US"/>
    <s v="7290150"/>
    <s v="IT Professional Fees"/>
    <s v="General &amp; Admin"/>
    <m/>
    <m/>
  </r>
  <r>
    <s v="Mettler-Toledo, LLC - MTI"/>
    <s v="MTMO-US"/>
    <s v="7290250"/>
    <s v="Temporary Employees"/>
    <s v="Logistics&amp;Purch. Costs"/>
    <m/>
    <m/>
  </r>
  <r>
    <s v="Mettler-Toledo, LLC - MTI"/>
    <s v="MTMO-US"/>
    <s v="7290250"/>
    <s v="Temporary Employees"/>
    <s v="Service"/>
    <n v="3603.91"/>
    <n v="14962.75"/>
  </r>
  <r>
    <s v="Mettler-Toledo, LLC - MTI"/>
    <s v="MTMO-US"/>
    <s v="7290250"/>
    <s v="Temporary Employees"/>
    <s v="Marketing"/>
    <m/>
    <n v="268.38"/>
  </r>
  <r>
    <s v="Mettler-Toledo, LLC - MTI"/>
    <s v="MTMO-US"/>
    <s v="7290300"/>
    <s v="SCM/Logist. Consult."/>
    <s v="Marketing"/>
    <m/>
    <m/>
  </r>
  <r>
    <s v="Mettler-Toledo, LLC - MTI"/>
    <s v="MTMO-US"/>
    <s v="7290400"/>
    <s v="HR &amp; Recruiting Fees"/>
    <s v="Logistics&amp;Purch. Costs"/>
    <m/>
    <m/>
  </r>
  <r>
    <s v="Mettler-Toledo, LLC - MTI"/>
    <s v="MTMO-US"/>
    <s v="7290400"/>
    <s v="HR &amp; Recruiting Fees"/>
    <s v="Service"/>
    <n v="4587.58"/>
    <n v="1011.37"/>
  </r>
  <r>
    <s v="Mettler-Toledo, LLC - MTI"/>
    <s v="MTMO-US"/>
    <s v="7290400"/>
    <s v="HR &amp; Recruiting Fees"/>
    <s v="Marketing"/>
    <n v="12280.07"/>
    <n v="74.88"/>
  </r>
  <r>
    <s v="Mettler-Toledo, LLC - MTI"/>
    <s v="MTMO-US"/>
    <s v="7290400"/>
    <s v="HR &amp; Recruiting Fees"/>
    <s v="General &amp; Admin"/>
    <n v="6835.34"/>
    <n v="4319.13"/>
  </r>
  <r>
    <s v="Mettler-Toledo, LLC - MTI"/>
    <s v="MTMO-US"/>
    <s v="7290900"/>
    <s v="Oth. Cons.&amp;Prof Fees"/>
    <s v="Logistics&amp;Purch. Costs"/>
    <n v="7285.25"/>
    <n v="3350"/>
  </r>
  <r>
    <s v="Mettler-Toledo, LLC - MTI"/>
    <s v="MTMO-US"/>
    <s v="7290900"/>
    <s v="Oth. Cons.&amp;Prof Fees"/>
    <s v="Service"/>
    <n v="1638.11"/>
    <n v="3360.52"/>
  </r>
  <r>
    <s v="Mettler-Toledo, LLC - MTI"/>
    <s v="MTMO-US"/>
    <s v="7290900"/>
    <s v="Oth. Cons.&amp;Prof Fees"/>
    <s v="Marketing"/>
    <n v="456.11"/>
    <n v="4955.17"/>
  </r>
  <r>
    <s v="Mettler-Toledo, LLC - MTI"/>
    <s v="MTMO-US"/>
    <s v="7290900"/>
    <s v="Oth. Cons.&amp;Prof Fees"/>
    <s v="General &amp; Admin"/>
    <n v="685.16"/>
    <n v="10762.03"/>
  </r>
  <r>
    <s v="Mettler-Toledo, LLC - MTI"/>
    <s v="MTMO-US"/>
    <s v="7291100"/>
    <s v="Tooling not capital."/>
    <s v="Service"/>
    <n v="34871.54"/>
    <n v="11271.67"/>
  </r>
  <r>
    <s v="Mettler-Toledo, LLC - MTI"/>
    <s v="MTMO-US"/>
    <s v="7291100"/>
    <s v="Tooling not capital."/>
    <s v="Marketing"/>
    <n v="0"/>
    <n v="6.43"/>
  </r>
  <r>
    <s v="Mettler-Toledo, LLC - MTI"/>
    <s v="MTMO-US"/>
    <s v="7291100"/>
    <s v="Tooling not capital."/>
    <s v="General &amp; Admin"/>
    <m/>
    <m/>
  </r>
  <r>
    <s v="Mettler-Toledo, LLC - MTI"/>
    <s v="MTMO-US"/>
    <s v="7291200"/>
    <s v="Maint. Mach.&amp;Equip."/>
    <s v="Service"/>
    <n v="697.95"/>
    <n v="4803.63"/>
  </r>
  <r>
    <s v="Mettler-Toledo, LLC - MTI"/>
    <s v="MTMO-US"/>
    <s v="7291200"/>
    <s v="Maint. Mach.&amp;Equip."/>
    <s v="Marketing"/>
    <n v="32.15"/>
    <m/>
  </r>
  <r>
    <s v="Mettler-Toledo, LLC - MTI"/>
    <s v="MTMO-US"/>
    <s v="7291200"/>
    <s v="Maint. Mach.&amp;Equip."/>
    <s v="General &amp; Admin"/>
    <m/>
    <m/>
  </r>
  <r>
    <s v="Mettler-Toledo, LLC - MTI"/>
    <s v="MTMO-US"/>
    <s v="7291300"/>
    <s v="IT HW not capital."/>
    <s v="Logistics&amp;Purch. Costs"/>
    <m/>
    <n v="85.99"/>
  </r>
  <r>
    <s v="Mettler-Toledo, LLC - MTI"/>
    <s v="MTMO-US"/>
    <s v="7291300"/>
    <s v="IT HW not capital."/>
    <s v="Service"/>
    <n v="5915.41"/>
    <n v="376.97"/>
  </r>
  <r>
    <s v="Mettler-Toledo, LLC - MTI"/>
    <s v="MTMO-US"/>
    <s v="7291300"/>
    <s v="IT HW not capital."/>
    <s v="Marketing"/>
    <n v="1923.18"/>
    <n v="-292.17"/>
  </r>
  <r>
    <s v="Mettler-Toledo, LLC - MTI"/>
    <s v="MTMO-US"/>
    <s v="7291300"/>
    <s v="IT HW not capital."/>
    <s v="General &amp; Admin"/>
    <n v="30945.95"/>
    <n v="16860.36"/>
  </r>
  <r>
    <s v="Mettler-Toledo, LLC - MTI"/>
    <s v="MTMO-US"/>
    <s v="7291350"/>
    <s v="Software not capital"/>
    <s v="Logistics&amp;Purch. Costs"/>
    <m/>
    <m/>
  </r>
  <r>
    <s v="Mettler-Toledo, LLC - MTI"/>
    <s v="MTMO-US"/>
    <s v="7291350"/>
    <s v="Software not capital"/>
    <s v="Service"/>
    <n v="163.9"/>
    <n v="98.97"/>
  </r>
  <r>
    <s v="Mettler-Toledo, LLC - MTI"/>
    <s v="MTMO-US"/>
    <s v="7291350"/>
    <s v="Software not capital"/>
    <s v="Marketing"/>
    <n v="2836.71"/>
    <n v="2892.41"/>
  </r>
  <r>
    <s v="Mettler-Toledo, LLC - MTI"/>
    <s v="MTMO-US"/>
    <s v="7291350"/>
    <s v="Software not capital"/>
    <s v="Promotion"/>
    <n v="192"/>
    <n v="136"/>
  </r>
  <r>
    <s v="Mettler-Toledo, LLC - MTI"/>
    <s v="MTMO-US"/>
    <s v="7291350"/>
    <s v="Software not capital"/>
    <s v="General &amp; Admin"/>
    <n v="6918.57"/>
    <n v="6073.19"/>
  </r>
  <r>
    <s v="Mettler-Toledo, LLC - MTI"/>
    <s v="MTMO-US"/>
    <s v="7291400"/>
    <s v="Office Equip not cap"/>
    <s v="Logistics&amp;Purch. Costs"/>
    <m/>
    <n v="21.49"/>
  </r>
  <r>
    <s v="Mettler-Toledo, LLC - MTI"/>
    <s v="MTMO-US"/>
    <s v="7291400"/>
    <s v="Office Equip not cap"/>
    <s v="Service"/>
    <n v="2088.8200000000002"/>
    <n v="-375.77"/>
  </r>
  <r>
    <s v="Mettler-Toledo, LLC - MTI"/>
    <s v="MTMO-US"/>
    <s v="7291400"/>
    <s v="Office Equip not cap"/>
    <s v="Marketing"/>
    <n v="2094.87"/>
    <n v="6358.98"/>
  </r>
  <r>
    <s v="Mettler-Toledo, LLC - MTI"/>
    <s v="MTMO-US"/>
    <s v="7291400"/>
    <s v="Office Equip not cap"/>
    <s v="General &amp; Admin"/>
    <m/>
    <m/>
  </r>
  <r>
    <s v="Mettler-Toledo, LLC - MTI"/>
    <s v="MTMO-US"/>
    <s v="7291900"/>
    <s v="Other Capex not Cap."/>
    <s v="Service"/>
    <n v="8804.4500000000007"/>
    <n v="-2766.07"/>
  </r>
  <r>
    <s v="Mettler-Toledo, LLC - MTI"/>
    <s v="MTMO-US"/>
    <s v="7291900"/>
    <s v="Other Capex not Cap."/>
    <s v="Marketing"/>
    <n v="-3734.53"/>
    <n v="-4187.5"/>
  </r>
  <r>
    <s v="Mettler-Toledo, LLC - MTI"/>
    <s v="MTMO-US"/>
    <s v="7291900"/>
    <s v="Other Capex not Cap."/>
    <s v="General &amp; Admin"/>
    <m/>
    <n v="0"/>
  </r>
  <r>
    <s v="Mettler-Toledo, LLC - MTI"/>
    <s v="MTMO-US"/>
    <s v="7292100"/>
    <s v="IC Alloc In IT In"/>
    <s v="General &amp; Admin"/>
    <m/>
    <m/>
  </r>
  <r>
    <s v="Mettler-Toledo, LLC - MTI"/>
    <s v="MTMO-US"/>
    <s v="7292110"/>
    <s v="IC Alloc In Admin"/>
    <s v="Service"/>
    <m/>
    <m/>
  </r>
  <r>
    <s v="Mettler-Toledo, LLC - MTI"/>
    <s v="MTMO-US"/>
    <s v="7292110"/>
    <s v="IC Alloc In Admin"/>
    <s v="Marketing"/>
    <m/>
    <m/>
  </r>
  <r>
    <s v="Mettler-Toledo, LLC - MTI"/>
    <s v="MTMO-US"/>
    <s v="7292140"/>
    <s v="IC Alloc In Mkt Sell"/>
    <s v="Logistics&amp;Purch. Costs"/>
    <n v="16203"/>
    <n v="16203"/>
  </r>
  <r>
    <s v="Mettler-Toledo, LLC - MTI"/>
    <s v="MTMO-US"/>
    <s v="7292140"/>
    <s v="IC Alloc In Mkt Sell"/>
    <s v="Service"/>
    <n v="54392.74"/>
    <n v="15878.63"/>
  </r>
  <r>
    <s v="Mettler-Toledo, LLC - MTI"/>
    <s v="MTMO-US"/>
    <s v="7292140"/>
    <s v="IC Alloc In Mkt Sell"/>
    <s v="Marketing"/>
    <n v="55649.34"/>
    <n v="35494.400000000001"/>
  </r>
  <r>
    <s v="Mettler-Toledo, LLC - MTI"/>
    <s v="MTMO-US"/>
    <s v="7292140"/>
    <s v="IC Alloc In Mkt Sell"/>
    <s v="General &amp; Admin"/>
    <n v="118015.25"/>
    <n v="114577.91"/>
  </r>
  <r>
    <s v="Mettler-Toledo, LLC - MTI"/>
    <s v="MTMO-US"/>
    <s v="7292490"/>
    <s v="IC Alloc In Others"/>
    <s v="Logistics&amp;Purch. Costs"/>
    <n v="4086"/>
    <n v="4086"/>
  </r>
  <r>
    <s v="Mettler-Toledo, LLC - MTI"/>
    <s v="MTMO-US"/>
    <s v="7292490"/>
    <s v="IC Alloc In Others"/>
    <s v="Service"/>
    <n v="41045.71"/>
    <n v="51136.29"/>
  </r>
  <r>
    <s v="Mettler-Toledo, LLC - MTI"/>
    <s v="MTMO-US"/>
    <s v="7292490"/>
    <s v="IC Alloc In Others"/>
    <s v="Marketing"/>
    <n v="12258"/>
    <n v="20430"/>
  </r>
  <r>
    <s v="Mettler-Toledo, LLC - MTI"/>
    <s v="MTMO-US"/>
    <s v="7292540"/>
    <s v="IC Alloc Out Admin"/>
    <s v="Logistics&amp;Purch. Costs"/>
    <n v="-31730.29"/>
    <n v="-25940.42"/>
  </r>
  <r>
    <s v="Mettler-Toledo, LLC - MTI"/>
    <s v="MTMO-US"/>
    <s v="7292540"/>
    <s v="IC Alloc Out Admin"/>
    <s v="Service"/>
    <n v="-8666.65"/>
    <n v="-112247.67999999999"/>
  </r>
  <r>
    <s v="Mettler-Toledo, LLC - MTI"/>
    <s v="MTMO-US"/>
    <s v="7292540"/>
    <s v="IC Alloc Out Admin"/>
    <s v="Marketing"/>
    <n v="-8557.92"/>
    <n v="-7390.18"/>
  </r>
  <r>
    <s v="Mettler-Toledo, LLC - MTI"/>
    <s v="MTMO-US"/>
    <s v="7292540"/>
    <s v="IC Alloc Out Admin"/>
    <s v="General &amp; Admin"/>
    <n v="-43562.58"/>
    <n v="-29505.86"/>
  </r>
  <r>
    <s v="Mettler-Toledo, LLC - MTI"/>
    <s v="MTMO-US"/>
    <s v="7292550"/>
    <s v="IC Alloc Out MktSell"/>
    <s v="Marketing"/>
    <n v="-57897.99"/>
    <n v="-62180.34"/>
  </r>
  <r>
    <s v="Mettler-Toledo, LLC - MTI"/>
    <s v="MTMO-US"/>
    <s v="7292560"/>
    <s v="IC Alloc Out GrpFunc"/>
    <s v="Service"/>
    <m/>
    <m/>
  </r>
  <r>
    <s v="Mettler-Toledo, LLC - MTI"/>
    <s v="MTMO-US"/>
    <s v="7292560"/>
    <s v="IC Alloc Out GrpFunc"/>
    <s v="Marketing"/>
    <n v="0"/>
    <m/>
  </r>
  <r>
    <s v="Mettler-Toledo, LLC - MTI"/>
    <s v="MTMO-US"/>
    <s v="7292560"/>
    <s v="IC Alloc Out GrpFunc"/>
    <s v="General &amp; Admin"/>
    <m/>
    <m/>
  </r>
  <r>
    <s v="Mettler-Toledo, LLC - MTI"/>
    <s v="MTMO-US"/>
    <s v="7292990"/>
    <s v="IC Alloc Out Others"/>
    <s v="Logistics&amp;Purch. Costs"/>
    <m/>
    <n v="0"/>
  </r>
  <r>
    <s v="Mettler-Toledo, LLC - MTI"/>
    <s v="MTMO-US"/>
    <s v="7292990"/>
    <s v="IC Alloc Out Others"/>
    <s v="Service"/>
    <n v="7193"/>
    <n v="10959.81"/>
  </r>
  <r>
    <s v="Mettler-Toledo, LLC - MTI"/>
    <s v="MTMO-US"/>
    <s v="7292990"/>
    <s v="IC Alloc Out Others"/>
    <s v="Marketing"/>
    <n v="8700.6200000000008"/>
    <n v="1171.1400000000001"/>
  </r>
  <r>
    <s v="Mettler-Toledo, LLC - MTI"/>
    <s v="MTMO-US"/>
    <s v="7292990"/>
    <s v="IC Alloc Out Others"/>
    <s v="General &amp; Admin"/>
    <n v="70820.820000000007"/>
    <n v="56011.65"/>
  </r>
  <r>
    <s v="Mettler-Toledo, LLC - MTI"/>
    <s v="MTMO-US"/>
    <s v="7299010"/>
    <s v="Books &amp; Periodicals"/>
    <s v="Logistics&amp;Purch. Costs"/>
    <n v="-71.069999999999993"/>
    <n v="-106.19"/>
  </r>
  <r>
    <s v="Mettler-Toledo, LLC - MTI"/>
    <s v="MTMO-US"/>
    <s v="7299010"/>
    <s v="Books &amp; Periodicals"/>
    <s v="Service"/>
    <n v="5875.51"/>
    <n v="1240.1300000000001"/>
  </r>
  <r>
    <s v="Mettler-Toledo, LLC - MTI"/>
    <s v="MTMO-US"/>
    <s v="7299010"/>
    <s v="Books &amp; Periodicals"/>
    <s v="Marketing"/>
    <n v="3611.52"/>
    <n v="-340.1"/>
  </r>
  <r>
    <s v="Mettler-Toledo, LLC - MTI"/>
    <s v="MTMO-US"/>
    <s v="7299010"/>
    <s v="Books &amp; Periodicals"/>
    <s v="General &amp; Admin"/>
    <n v="142.16999999999999"/>
    <n v="1410.32"/>
  </r>
  <r>
    <s v="Mettler-Toledo, LLC - MTI"/>
    <s v="MTMO-US"/>
    <s v="7299030"/>
    <s v="Misc Ship/Postage"/>
    <s v="Logistics&amp;Purch. Costs"/>
    <n v="20"/>
    <m/>
  </r>
  <r>
    <s v="Mettler-Toledo, LLC - MTI"/>
    <s v="MTMO-US"/>
    <s v="7299030"/>
    <s v="Misc Ship/Postage"/>
    <s v="Service"/>
    <n v="1818.97"/>
    <n v="3734.56"/>
  </r>
  <r>
    <s v="Mettler-Toledo, LLC - MTI"/>
    <s v="MTMO-US"/>
    <s v="7299030"/>
    <s v="Misc Ship/Postage"/>
    <s v="Marketing"/>
    <n v="626.08000000000004"/>
    <n v="543.39"/>
  </r>
  <r>
    <s v="Mettler-Toledo, LLC - MTI"/>
    <s v="MTMO-US"/>
    <s v="7299030"/>
    <s v="Misc Ship/Postage"/>
    <s v="Promotion"/>
    <m/>
    <m/>
  </r>
  <r>
    <s v="Mettler-Toledo, LLC - MTI"/>
    <s v="MTMO-US"/>
    <s v="7299030"/>
    <s v="Misc Ship/Postage"/>
    <s v="General &amp; Admin"/>
    <n v="1194.6500000000001"/>
    <n v="441.15"/>
  </r>
  <r>
    <s v="Mettler-Toledo, LLC - MTI"/>
    <s v="MTMO-US"/>
    <s v="7299040"/>
    <s v="Office Supplies"/>
    <s v="Logistics&amp;Purch. Costs"/>
    <n v="-24.7"/>
    <n v="50.24"/>
  </r>
  <r>
    <s v="Mettler-Toledo, LLC - MTI"/>
    <s v="MTMO-US"/>
    <s v="7299040"/>
    <s v="Office Supplies"/>
    <s v="Service"/>
    <n v="55256.480000000003"/>
    <n v="10767.59"/>
  </r>
  <r>
    <s v="Mettler-Toledo, LLC - MTI"/>
    <s v="MTMO-US"/>
    <s v="7299040"/>
    <s v="Office Supplies"/>
    <s v="Marketing"/>
    <n v="59111.74"/>
    <n v="9418.1299999999992"/>
  </r>
  <r>
    <s v="Mettler-Toledo, LLC - MTI"/>
    <s v="MTMO-US"/>
    <s v="7299040"/>
    <s v="Office Supplies"/>
    <s v="General &amp; Admin"/>
    <n v="3367.02"/>
    <n v="761.24"/>
  </r>
  <r>
    <s v="Mettler-Toledo, LLC - MTI"/>
    <s v="MTMO-US"/>
    <s v="7299050"/>
    <s v="Non Office Equipment"/>
    <s v="Service"/>
    <n v="360.13"/>
    <n v="1995.68"/>
  </r>
  <r>
    <s v="Mettler-Toledo, LLC - MTI"/>
    <s v="MTMO-US"/>
    <s v="7299050"/>
    <s v="Non Office Equipment"/>
    <s v="Marketing"/>
    <n v="7.51"/>
    <n v="1063.5899999999999"/>
  </r>
  <r>
    <s v="Mettler-Toledo, LLC - MTI"/>
    <s v="MTMO-US"/>
    <s v="7299050"/>
    <s v="Non Office Equipment"/>
    <s v="General &amp; Admin"/>
    <m/>
    <n v="123.6"/>
  </r>
  <r>
    <s v="Mettler-Toledo, LLC - MTI"/>
    <s v="MTMO-US"/>
    <s v="7299070"/>
    <s v="Record Retention"/>
    <s v="General &amp; Admin"/>
    <n v="3007.6"/>
    <n v="5104.16"/>
  </r>
  <r>
    <s v="Mettler-Toledo, LLC - MTI"/>
    <s v="MTMO-US"/>
    <s v="7299080"/>
    <s v="Weights&amp;Measures Exp"/>
    <s v="Service"/>
    <n v="14720.16"/>
    <n v="10573.32"/>
  </r>
  <r>
    <s v="Mettler-Toledo, LLC - MTI"/>
    <s v="MTMO-US"/>
    <s v="7299080"/>
    <s v="Weights&amp;Measures Exp"/>
    <s v="Marketing"/>
    <m/>
    <m/>
  </r>
  <r>
    <s v="Mettler-Toledo, LLC - MTI"/>
    <s v="MTMO-US"/>
    <s v="7299080"/>
    <s v="Weights&amp;Measures Exp"/>
    <s v="General &amp; Admin"/>
    <m/>
    <m/>
  </r>
  <r>
    <s v="Mettler-Toledo, LLC - MTI"/>
    <s v="MTMO-US"/>
    <s v="7299100"/>
    <s v="Product/Liab. Ins."/>
    <s v="General &amp; Admin"/>
    <n v="55253.33"/>
    <n v="22483.33"/>
  </r>
  <r>
    <s v="Mettler-Toledo, LLC - MTI"/>
    <s v="MTMO-US"/>
    <s v="7299210"/>
    <s v="Charitable Donations"/>
    <s v="Service"/>
    <n v="148.6"/>
    <n v="132.91999999999999"/>
  </r>
  <r>
    <s v="Mettler-Toledo, LLC - MTI"/>
    <s v="MTMO-US"/>
    <s v="7299210"/>
    <s v="Charitable Donations"/>
    <s v="Marketing"/>
    <n v="5561.9"/>
    <n v="2743.55"/>
  </r>
  <r>
    <s v="Mettler-Toledo, LLC - MTI"/>
    <s v="MTMO-US"/>
    <s v="7299210"/>
    <s v="Charitable Donations"/>
    <s v="Promotion"/>
    <m/>
    <m/>
  </r>
  <r>
    <s v="Mettler-Toledo, LLC - MTI"/>
    <s v="MTMO-US"/>
    <s v="7299210"/>
    <s v="Charitable Donations"/>
    <s v="General &amp; Admin"/>
    <m/>
    <m/>
  </r>
  <r>
    <s v="Mettler-Toledo, LLC - MTI"/>
    <s v="MTMO-US"/>
    <s v="7299230"/>
    <s v="Shop Supplies"/>
    <s v="Service"/>
    <n v="14992.17"/>
    <n v="31366.5"/>
  </r>
  <r>
    <s v="Mettler-Toledo, LLC - MTI"/>
    <s v="MTMO-US"/>
    <s v="7299230"/>
    <s v="Shop Supplies"/>
    <s v="Marketing"/>
    <n v="568.82000000000005"/>
    <n v="1492.04"/>
  </r>
  <r>
    <s v="Mettler-Toledo, LLC - MTI"/>
    <s v="MTMO-US"/>
    <s v="7299230"/>
    <s v="Shop Supplies"/>
    <s v="General &amp; Admin"/>
    <m/>
    <n v="0"/>
  </r>
  <r>
    <s v="Mettler-Toledo, LLC - MTI"/>
    <s v="MTMO-US"/>
    <s v="7299250"/>
    <s v="Uniforms"/>
    <s v="Logistics&amp;Purch. Costs"/>
    <m/>
    <m/>
  </r>
  <r>
    <s v="Mettler-Toledo, LLC - MTI"/>
    <s v="MTMO-US"/>
    <s v="7299250"/>
    <s v="Uniforms"/>
    <s v="Service"/>
    <n v="23680.53"/>
    <n v="13469.98"/>
  </r>
  <r>
    <s v="Mettler-Toledo, LLC - MTI"/>
    <s v="MTMO-US"/>
    <s v="7299250"/>
    <s v="Uniforms"/>
    <s v="Marketing"/>
    <n v="1310.4100000000001"/>
    <n v="952.13"/>
  </r>
  <r>
    <s v="Mettler-Toledo, LLC - MTI"/>
    <s v="MTMO-US"/>
    <s v="7299250"/>
    <s v="Uniforms"/>
    <s v="General &amp; Admin"/>
    <m/>
    <m/>
  </r>
  <r>
    <s v="Mettler-Toledo, LLC - MTI"/>
    <s v="MTMO-US"/>
    <s v="7299260"/>
    <s v="Membership Fees"/>
    <s v="Service"/>
    <n v="10145.44"/>
    <n v="12915.43"/>
  </r>
  <r>
    <s v="Mettler-Toledo, LLC - MTI"/>
    <s v="MTMO-US"/>
    <s v="7299260"/>
    <s v="Membership Fees"/>
    <s v="Marketing"/>
    <n v="3769.97"/>
    <n v="4891.1499999999996"/>
  </r>
  <r>
    <s v="Mettler-Toledo, LLC - MTI"/>
    <s v="MTMO-US"/>
    <s v="7299260"/>
    <s v="Membership Fees"/>
    <s v="Promotion"/>
    <n v="241.67"/>
    <m/>
  </r>
  <r>
    <s v="Mettler-Toledo, LLC - MTI"/>
    <s v="MTMO-US"/>
    <s v="7299260"/>
    <s v="Membership Fees"/>
    <s v="General &amp; Admin"/>
    <n v="570"/>
    <n v="2853.34"/>
  </r>
  <r>
    <s v="Mettler-Toledo, LLC - MTI"/>
    <s v="MTMO-US"/>
    <s v="7299270"/>
    <s v="Rented Equipment"/>
    <s v="Service"/>
    <n v="0"/>
    <n v="0"/>
  </r>
  <r>
    <s v="Mettler-Toledo, LLC - MTI"/>
    <s v="MTMO-US"/>
    <s v="7299273"/>
    <s v="LseNotCap-OthEqExp"/>
    <s v="Service"/>
    <n v="0"/>
    <n v="0"/>
  </r>
  <r>
    <s v="Mettler-Toledo, LLC - MTI"/>
    <s v="MTMO-US"/>
    <s v="7299273"/>
    <s v="LseNotCap-OthEqExp"/>
    <s v="Marketing"/>
    <n v="1347.78"/>
    <n v="1758.55"/>
  </r>
  <r>
    <s v="Mettler-Toledo, LLC - MTI"/>
    <s v="MTMO-US"/>
    <s v="7299300"/>
    <s v="Invent'y Consump. CC"/>
    <s v="Service"/>
    <m/>
    <n v="0"/>
  </r>
  <r>
    <s v="Mettler-Toledo, LLC - MTI"/>
    <s v="MTMO-US"/>
    <s v="7299300"/>
    <s v="Invent'y Consump. CC"/>
    <s v="Marketing"/>
    <n v="0"/>
    <n v="0"/>
  </r>
  <r>
    <s v="Mettler-Toledo, LLC - MTI"/>
    <s v="MTMO-US"/>
    <s v="7299400"/>
    <s v="Restocking Inc/Exp"/>
    <s v="Marketing"/>
    <n v="1080"/>
    <n v="1050"/>
  </r>
  <r>
    <s v="Mettler-Toledo, LLC - MTI"/>
    <s v="MTMO-US"/>
    <s v="7299520"/>
    <s v="Sales and Use Tax"/>
    <s v="Service"/>
    <n v="124.05"/>
    <n v="230.94"/>
  </r>
  <r>
    <s v="Mettler-Toledo, LLC - MTI"/>
    <s v="MTMO-US"/>
    <s v="7299520"/>
    <s v="Sales and Use Tax"/>
    <s v="Marketing"/>
    <n v="-5306.54"/>
    <m/>
  </r>
  <r>
    <s v="Mettler-Toledo, LLC - MTI"/>
    <s v="MTMO-US"/>
    <s v="7299520"/>
    <s v="Sales and Use Tax"/>
    <s v="General &amp; Admin"/>
    <m/>
    <n v="135.03"/>
  </r>
  <r>
    <s v="Mettler-Toledo, LLC - MTI"/>
    <s v="MTMO-US"/>
    <s v="7299530"/>
    <s v="Other Taxes and Fees"/>
    <s v="Service"/>
    <n v="96.41"/>
    <n v="427.07"/>
  </r>
  <r>
    <s v="Mettler-Toledo, LLC - MTI"/>
    <s v="MTMO-US"/>
    <s v="7299530"/>
    <s v="Other Taxes and Fees"/>
    <s v="Marketing"/>
    <n v="3897.52"/>
    <n v="4536.12"/>
  </r>
  <r>
    <s v="Mettler-Toledo, LLC - MTI"/>
    <s v="MTMO-US"/>
    <s v="7299530"/>
    <s v="Other Taxes and Fees"/>
    <s v="General &amp; Admin"/>
    <n v="7906.96"/>
    <n v="9922.8700000000008"/>
  </r>
  <r>
    <s v="Mettler-Toledo, LLC - MTI"/>
    <s v="MTMO-US"/>
    <s v="7299800"/>
    <s v="AP Discounts Receivd"/>
    <s v="General &amp; Admin"/>
    <n v="-77.069999999999993"/>
    <n v="-441.81"/>
  </r>
  <r>
    <s v="Mettler-Toledo, LLC - MTI"/>
    <s v="MTMO-US"/>
    <s v="7299900"/>
    <s v="Other Misc Expense"/>
    <s v="Logistics&amp;Purch. Costs"/>
    <n v="113.73"/>
    <n v="41.32"/>
  </r>
  <r>
    <s v="Mettler-Toledo, LLC - MTI"/>
    <s v="MTMO-US"/>
    <s v="7299900"/>
    <s v="Other Misc Expense"/>
    <s v="Service"/>
    <n v="-27345.08"/>
    <n v="-95702.73"/>
  </r>
  <r>
    <s v="Mettler-Toledo, LLC - MTI"/>
    <s v="MTMO-US"/>
    <s v="7299900"/>
    <s v="Other Misc Expense"/>
    <s v="Marketing"/>
    <n v="25495.53"/>
    <n v="21276.22"/>
  </r>
  <r>
    <s v="Mettler-Toledo, LLC - MTI"/>
    <s v="MTMO-US"/>
    <s v="7299900"/>
    <s v="Other Misc Expense"/>
    <s v="Promotion"/>
    <m/>
    <m/>
  </r>
  <r>
    <s v="Mettler-Toledo, LLC - MTI"/>
    <s v="MTMO-US"/>
    <s v="7299900"/>
    <s v="Other Misc Expense"/>
    <s v="General &amp; Admin"/>
    <n v="1471.63"/>
    <n v="-60279.57"/>
  </r>
  <r>
    <s v="Mettler-Toledo, LLC - MTI"/>
    <s v="MTMO-US"/>
    <s v="7299950"/>
    <s v="Capitalized Costs"/>
    <s v="Service"/>
    <m/>
    <m/>
  </r>
  <r>
    <s v="Mettler-Toledo, LLC - MTI"/>
    <s v="MTMO-US"/>
    <s v="7300050"/>
    <s v="Depr. Building"/>
    <s v="General &amp; Admin"/>
    <n v="1517.17"/>
    <n v="1565.95"/>
  </r>
  <r>
    <s v="Mettler-Toledo, LLC - MTI"/>
    <s v="MTMO-US"/>
    <s v="7300100"/>
    <s v="Depr. Equipm.Trans"/>
    <s v="Service"/>
    <n v="39757.26"/>
    <n v="37123.06"/>
  </r>
  <r>
    <s v="Mettler-Toledo, LLC - MTI"/>
    <s v="MTMO-US"/>
    <s v="7300100"/>
    <s v="Depr. Equipm.Trans"/>
    <s v="Marketing"/>
    <n v="1756.92"/>
    <n v="1991.93"/>
  </r>
  <r>
    <s v="Mettler-Toledo, LLC - MTI"/>
    <s v="MTMO-US"/>
    <s v="7300110"/>
    <s v="Depr. Equipm. Mach."/>
    <s v="Service"/>
    <n v="8607.7999999999993"/>
    <n v="8174.94"/>
  </r>
  <r>
    <s v="Mettler-Toledo, LLC - MTI"/>
    <s v="MTMO-US"/>
    <s v="7300110"/>
    <s v="Depr. Equipm. Mach."/>
    <s v="Marketing"/>
    <n v="50.79"/>
    <n v="50.79"/>
  </r>
  <r>
    <s v="Mettler-Toledo, LLC - MTI"/>
    <s v="MTMO-US"/>
    <s v="7300120"/>
    <s v="Depr. Equipm.IT&amp;Tele"/>
    <s v="Service"/>
    <m/>
    <n v="176.96"/>
  </r>
  <r>
    <s v="Mettler-Toledo, LLC - MTI"/>
    <s v="MTMO-US"/>
    <s v="7300120"/>
    <s v="Depr. Equipm.IT&amp;Tele"/>
    <s v="General &amp; Admin"/>
    <n v="7336.69"/>
    <n v="15233.7"/>
  </r>
  <r>
    <s v="Mettler-Toledo, LLC - MTI"/>
    <s v="MTMO-US"/>
    <s v="7300130"/>
    <s v="Depr. Equipm.Other"/>
    <s v="Logistics&amp;Purch. Costs"/>
    <n v="95.76"/>
    <n v="95.76"/>
  </r>
  <r>
    <s v="Mettler-Toledo, LLC - MTI"/>
    <s v="MTMO-US"/>
    <s v="7300130"/>
    <s v="Depr. Equipm.Other"/>
    <s v="Service"/>
    <n v="5809.54"/>
    <n v="6289.6"/>
  </r>
  <r>
    <s v="Mettler-Toledo, LLC - MTI"/>
    <s v="MTMO-US"/>
    <s v="7300130"/>
    <s v="Depr. Equipm.Other"/>
    <s v="Marketing"/>
    <n v="539.83000000000004"/>
    <n v="539.83000000000004"/>
  </r>
  <r>
    <s v="Mettler-Toledo, LLC - MTI"/>
    <s v="MTMO-US"/>
    <s v="7300130"/>
    <s v="Depr. Equipm.Other"/>
    <s v="General &amp; Admin"/>
    <n v="7267.11"/>
    <n v="7267.11"/>
  </r>
  <r>
    <s v="Mettler-Toledo, LLC - MTI"/>
    <s v="MTMO-US"/>
    <s v="7300140"/>
    <s v="Depr. Equipm.Rental"/>
    <s v="Service"/>
    <n v="690.75"/>
    <n v="726.22"/>
  </r>
  <r>
    <s v="Mettler-Toledo, LLC - MTI"/>
    <s v="MTMO-US"/>
    <s v="7300140"/>
    <s v="Depr. Equipm.Rental"/>
    <s v="Marketing"/>
    <n v="1172.46"/>
    <n v="1172.46"/>
  </r>
  <r>
    <s v="Mettler-Toledo, LLC - MTI"/>
    <s v="MTMO-US"/>
    <s v="7100050"/>
    <s v="Sal. perm. employee"/>
    <s v="Logistics&amp;Purch. Costs"/>
    <n v="106318.06"/>
    <n v="97188.65"/>
  </r>
  <r>
    <s v="Mettler-Toledo, LLC - MTI"/>
    <s v="MTMO-US"/>
    <s v="7100050"/>
    <s v="Sal. perm. employee"/>
    <s v="Service"/>
    <n v="3556247.37"/>
    <n v="3424988.61"/>
  </r>
  <r>
    <s v="Mettler-Toledo, LLC - MTI"/>
    <s v="MTMO-US"/>
    <s v="7100050"/>
    <s v="Sal. perm. employee"/>
    <s v="Marketing"/>
    <n v="3264889.3"/>
    <n v="2962706.03"/>
  </r>
  <r>
    <s v="Mettler-Toledo, LLC - MTI"/>
    <s v="MTMO-US"/>
    <s v="7100050"/>
    <s v="Sal. perm. employee"/>
    <s v="General &amp; Admin"/>
    <n v="319436.12"/>
    <n v="319711.24"/>
  </r>
  <r>
    <s v="Mettler-Toledo, LLC - MTI"/>
    <s v="MTMO-US"/>
    <s v="7100150"/>
    <s v="OT (w/o surcharge)"/>
    <s v="Logistics&amp;Purch. Costs"/>
    <n v="76.97"/>
    <n v="44.41"/>
  </r>
  <r>
    <s v="Mettler-Toledo, LLC - MTI"/>
    <s v="MTMO-US"/>
    <s v="7100150"/>
    <s v="OT (w/o surcharge)"/>
    <s v="Service"/>
    <n v="449225.15"/>
    <n v="387746.91"/>
  </r>
  <r>
    <s v="Mettler-Toledo, LLC - MTI"/>
    <s v="MTMO-US"/>
    <s v="7100150"/>
    <s v="OT (w/o surcharge)"/>
    <s v="Marketing"/>
    <n v="9173.36"/>
    <n v="8213.83"/>
  </r>
  <r>
    <s v="Mettler-Toledo, LLC - MTI"/>
    <s v="MTMO-US"/>
    <s v="7100150"/>
    <s v="OT (w/o surcharge)"/>
    <s v="General &amp; Admin"/>
    <n v="1024.8900000000001"/>
    <n v="1611.57"/>
  </r>
  <r>
    <s v="Mettler-Toledo, LLC - MTI"/>
    <s v="MTMO-US"/>
    <s v="7100900"/>
    <s v="Other Base Comp"/>
    <s v="Logistics&amp;Purch. Costs"/>
    <n v="325.98"/>
    <n v="325.98"/>
  </r>
  <r>
    <s v="Mettler-Toledo, LLC - MTI"/>
    <s v="MTMO-US"/>
    <s v="7100900"/>
    <s v="Other Base Comp"/>
    <s v="Service"/>
    <n v="2866.97"/>
    <n v="31140"/>
  </r>
  <r>
    <s v="Mettler-Toledo, LLC - MTI"/>
    <s v="MTMO-US"/>
    <s v="7100900"/>
    <s v="Other Base Comp"/>
    <s v="Marketing"/>
    <n v="3527.54"/>
    <n v="4847.88"/>
  </r>
  <r>
    <s v="Mettler-Toledo, LLC - MTI"/>
    <s v="MTMO-US"/>
    <s v="7100900"/>
    <s v="Other Base Comp"/>
    <s v="General &amp; Admin"/>
    <n v="725"/>
    <n v="725"/>
  </r>
  <r>
    <s v="Mettler-Toledo, LLC - MTI"/>
    <s v="MTMO-US"/>
    <s v="7110050"/>
    <s v="Absence/Vacation Exp"/>
    <s v="Marketing"/>
    <m/>
    <m/>
  </r>
  <r>
    <s v="Mettler-Toledo, LLC - MTI"/>
    <s v="MTMO-US"/>
    <s v="7110150"/>
    <s v="Social Security"/>
    <s v="Logistics&amp;Purch. Costs"/>
    <n v="7826.23"/>
    <n v="7052.67"/>
  </r>
  <r>
    <s v="Mettler-Toledo, LLC - MTI"/>
    <s v="MTMO-US"/>
    <s v="7110150"/>
    <s v="Social Security"/>
    <s v="Service"/>
    <n v="314953.37"/>
    <n v="298948.03000000003"/>
  </r>
  <r>
    <s v="Mettler-Toledo, LLC - MTI"/>
    <s v="MTMO-US"/>
    <s v="7110150"/>
    <s v="Social Security"/>
    <s v="Marketing"/>
    <n v="282656.38"/>
    <n v="271108.21000000002"/>
  </r>
  <r>
    <s v="Mettler-Toledo, LLC - MTI"/>
    <s v="MTMO-US"/>
    <s v="7110150"/>
    <s v="Social Security"/>
    <s v="General &amp; Admin"/>
    <n v="21750.21"/>
    <n v="21999.93"/>
  </r>
  <r>
    <s v="Mettler-Toledo, LLC - MTI"/>
    <s v="MTMO-US"/>
    <s v="7110200"/>
    <s v="Pension (401k/PK)"/>
    <s v="Logistics&amp;Purch. Costs"/>
    <n v="3772.32"/>
    <n v="3564.12"/>
  </r>
  <r>
    <s v="Mettler-Toledo, LLC - MTI"/>
    <s v="MTMO-US"/>
    <s v="7110200"/>
    <s v="Pension (401k/PK)"/>
    <s v="Service"/>
    <n v="213039.16"/>
    <n v="211701.52"/>
  </r>
  <r>
    <s v="Mettler-Toledo, LLC - MTI"/>
    <s v="MTMO-US"/>
    <s v="7110200"/>
    <s v="Pension (401k/PK)"/>
    <s v="Marketing"/>
    <n v="208764.31"/>
    <n v="203465.76"/>
  </r>
  <r>
    <s v="Mettler-Toledo, LLC - MTI"/>
    <s v="MTMO-US"/>
    <s v="7110200"/>
    <s v="Pension (401k/PK)"/>
    <s v="General &amp; Admin"/>
    <n v="13230.39"/>
    <n v="13366.38"/>
  </r>
  <r>
    <s v="Mettler-Toledo, LLC - MTI"/>
    <s v="MTMO-US"/>
    <s v="7110300"/>
    <s v="Medical Insurance"/>
    <s v="Logistics&amp;Purch. Costs"/>
    <n v="12551.86"/>
    <n v="11236.33"/>
  </r>
  <r>
    <s v="Mettler-Toledo, LLC - MTI"/>
    <s v="MTMO-US"/>
    <s v="7110300"/>
    <s v="Medical Insurance"/>
    <s v="Service"/>
    <n v="507537.4"/>
    <n v="478883.51"/>
  </r>
  <r>
    <s v="Mettler-Toledo, LLC - MTI"/>
    <s v="MTMO-US"/>
    <s v="7110300"/>
    <s v="Medical Insurance"/>
    <s v="Marketing"/>
    <n v="374068.49"/>
    <n v="340363.75"/>
  </r>
  <r>
    <s v="Mettler-Toledo, LLC - MTI"/>
    <s v="MTMO-US"/>
    <s v="7110300"/>
    <s v="Medical Insurance"/>
    <s v="General &amp; Admin"/>
    <n v="38002.68"/>
    <n v="37526.1"/>
  </r>
  <r>
    <s v="Mettler-Toledo, LLC - MTI"/>
    <s v="MTMO-US"/>
    <s v="7110350"/>
    <s v="Unemployment Premium"/>
    <s v="Logistics&amp;Purch. Costs"/>
    <m/>
    <m/>
  </r>
  <r>
    <s v="Mettler-Toledo, LLC - MTI"/>
    <s v="MTMO-US"/>
    <s v="7110350"/>
    <s v="Unemployment Premium"/>
    <s v="Service"/>
    <n v="2483.81"/>
    <n v="1794.42"/>
  </r>
  <r>
    <s v="Mettler-Toledo, LLC - MTI"/>
    <s v="MTMO-US"/>
    <s v="7110350"/>
    <s v="Unemployment Premium"/>
    <s v="Marketing"/>
    <n v="604.04999999999995"/>
    <n v="124.15"/>
  </r>
  <r>
    <s v="Mettler-Toledo, LLC - MTI"/>
    <s v="MTMO-US"/>
    <s v="7110350"/>
    <s v="Unemployment Premium"/>
    <s v="General &amp; Admin"/>
    <n v="39.369999999999997"/>
    <n v="111.69"/>
  </r>
  <r>
    <s v="Mettler-Toledo, LLC - MTI"/>
    <s v="MTMO-US"/>
    <s v="7110460"/>
    <s v="Worker's Comp"/>
    <s v="Logistics&amp;Purch. Costs"/>
    <n v="1288.45"/>
    <n v="386.04"/>
  </r>
  <r>
    <s v="Mettler-Toledo, LLC - MTI"/>
    <s v="MTMO-US"/>
    <s v="7110460"/>
    <s v="Worker's Comp"/>
    <s v="Service"/>
    <n v="55091.28"/>
    <n v="17918.689999999999"/>
  </r>
  <r>
    <s v="Mettler-Toledo, LLC - MTI"/>
    <s v="MTMO-US"/>
    <s v="7110460"/>
    <s v="Worker's Comp"/>
    <s v="Marketing"/>
    <n v="41185.480000000003"/>
    <n v="12234.07"/>
  </r>
  <r>
    <s v="Mettler-Toledo, LLC - MTI"/>
    <s v="MTMO-US"/>
    <s v="7110460"/>
    <s v="Worker's Comp"/>
    <s v="General &amp; Admin"/>
    <n v="4162.7"/>
    <n v="1383.31"/>
  </r>
  <r>
    <s v="Mettler-Toledo, LLC - MTI"/>
    <s v="MTMO-US"/>
    <s v="7110900"/>
    <s v="Other Social Costs"/>
    <s v="Service"/>
    <n v="1302.42"/>
    <n v="1121.51"/>
  </r>
  <r>
    <s v="Mettler-Toledo, LLC - MTI"/>
    <s v="MTMO-US"/>
    <s v="7110900"/>
    <s v="Other Social Costs"/>
    <s v="Marketing"/>
    <n v="796.81"/>
    <n v="836.5"/>
  </r>
  <r>
    <s v="Mettler-Toledo, LLC - MTI"/>
    <s v="MTMO-US"/>
    <s v="7110900"/>
    <s v="Other Social Costs"/>
    <s v="General &amp; Admin"/>
    <m/>
    <n v="0"/>
  </r>
  <r>
    <s v="Mettler-Toledo, LLC - MTI"/>
    <s v="MTMO-US"/>
    <s v="7120050"/>
    <s v="Empl. training exp."/>
    <s v="Logistics&amp;Purch. Costs"/>
    <m/>
    <m/>
  </r>
  <r>
    <s v="Mettler-Toledo, LLC - MTI"/>
    <s v="MTMO-US"/>
    <s v="7120050"/>
    <s v="Empl. training exp."/>
    <s v="Service"/>
    <n v="4193.05"/>
    <n v="3604.45"/>
  </r>
  <r>
    <s v="Mettler-Toledo, LLC - MTI"/>
    <s v="MTMO-US"/>
    <s v="7120050"/>
    <s v="Empl. training exp."/>
    <s v="Marketing"/>
    <n v="12636.73"/>
    <n v="10040.76"/>
  </r>
  <r>
    <s v="Mettler-Toledo, LLC - MTI"/>
    <s v="MTMO-US"/>
    <s v="7120050"/>
    <s v="Empl. training exp."/>
    <s v="General &amp; Admin"/>
    <n v="1655"/>
    <n v="457.55"/>
  </r>
  <r>
    <s v="Mettler-Toledo, LLC - MTI"/>
    <s v="MTMO-US"/>
    <s v="7120200"/>
    <s v="Travel/Auto Allow'ce"/>
    <s v="Service"/>
    <n v="164.5"/>
    <n v="820.27"/>
  </r>
  <r>
    <s v="Mettler-Toledo, LLC - MTI"/>
    <s v="MTMO-US"/>
    <s v="7120200"/>
    <s v="Travel/Auto Allow'ce"/>
    <s v="Marketing"/>
    <n v="46.51"/>
    <n v="267.95999999999998"/>
  </r>
  <r>
    <s v="Mettler-Toledo, LLC - MTI"/>
    <s v="MTMO-US"/>
    <s v="7120250"/>
    <s v="Signing/Prop bonus"/>
    <s v="Logistics&amp;Purch. Costs"/>
    <m/>
    <m/>
  </r>
  <r>
    <s v="Mettler-Toledo, LLC - MTI"/>
    <s v="MTMO-US"/>
    <s v="7120250"/>
    <s v="Signing/Prop bonus"/>
    <s v="Service"/>
    <n v="3802.76"/>
    <n v="2354.1799999999998"/>
  </r>
  <r>
    <s v="Mettler-Toledo, LLC - MTI"/>
    <s v="MTMO-US"/>
    <s v="7120250"/>
    <s v="Signing/Prop bonus"/>
    <s v="Marketing"/>
    <n v="2098.84"/>
    <n v="2450"/>
  </r>
  <r>
    <s v="Mettler-Toledo, LLC - MTI"/>
    <s v="MTMO-US"/>
    <s v="7120250"/>
    <s v="Signing/Prop bonus"/>
    <s v="General &amp; Admin"/>
    <m/>
    <m/>
  </r>
  <r>
    <s v="Mettler-Toledo, LLC - MTI"/>
    <s v="MTMO-US"/>
    <s v="7120350"/>
    <s v="Job advertisement"/>
    <s v="Marketing"/>
    <m/>
    <m/>
  </r>
  <r>
    <s v="Mettler-Toledo, LLC - MTI"/>
    <s v="MTMO-US"/>
    <s v="7120400"/>
    <s v="Application fees"/>
    <s v="Service"/>
    <n v="506.76"/>
    <n v="1419.99"/>
  </r>
  <r>
    <s v="Mettler-Toledo, LLC - MTI"/>
    <s v="MTMO-US"/>
    <s v="7120400"/>
    <s v="Application fees"/>
    <s v="Marketing"/>
    <n v="0"/>
    <m/>
  </r>
  <r>
    <s v="Mettler-Toledo, LLC - MTI"/>
    <s v="MTMO-US"/>
    <s v="7120450"/>
    <s v="Severance Pay"/>
    <s v="Logistics&amp;Purch. Costs"/>
    <m/>
    <m/>
  </r>
  <r>
    <s v="Mettler-Toledo, LLC - MTI"/>
    <s v="MTMO-US"/>
    <s v="7120450"/>
    <s v="Severance Pay"/>
    <s v="Service"/>
    <n v="2473.2399999999998"/>
    <n v="4153.6000000000004"/>
  </r>
  <r>
    <s v="Mettler-Toledo, LLC - MTI"/>
    <s v="MTMO-US"/>
    <s v="7120450"/>
    <s v="Severance Pay"/>
    <s v="Marketing"/>
    <m/>
    <m/>
  </r>
  <r>
    <s v="Mettler-Toledo, LLC - MTI"/>
    <s v="MTMO-US"/>
    <s v="7120450"/>
    <s v="Severance Pay"/>
    <s v="General &amp; Admin"/>
    <m/>
    <m/>
  </r>
  <r>
    <s v="Mettler-Toledo, LLC - MTI"/>
    <s v="MTMO-US"/>
    <s v="7120650"/>
    <s v="Employee Relocation"/>
    <s v="Service"/>
    <m/>
    <m/>
  </r>
  <r>
    <s v="Mettler-Toledo, LLC - MTI"/>
    <s v="MTMO-US"/>
    <s v="7120650"/>
    <s v="Employee Relocation"/>
    <s v="Marketing"/>
    <n v="380"/>
    <n v="5416.93"/>
  </r>
  <r>
    <s v="Mettler-Toledo, LLC - MTI"/>
    <s v="MTMO-US"/>
    <s v="7120650"/>
    <s v="Employee Relocation"/>
    <s v="General &amp; Admin"/>
    <n v="6286.09"/>
    <m/>
  </r>
  <r>
    <s v="Mettler-Toledo, LLC - MTI"/>
    <s v="MTMO-US"/>
    <s v="7120750"/>
    <s v="Tuition Reimbursem't"/>
    <s v="Marketing"/>
    <m/>
    <n v="0"/>
  </r>
  <r>
    <s v="Mettler-Toledo, LLC - MTI"/>
    <s v="MTMO-US"/>
    <s v="7120750"/>
    <s v="Tuition Reimbursem't"/>
    <s v="General &amp; Admin"/>
    <n v="2467.19"/>
    <n v="4820"/>
  </r>
  <r>
    <s v="Mettler-Toledo, LLC - MTI"/>
    <s v="MTMO-US"/>
    <s v="7120900"/>
    <s v="Other Personnel Exp"/>
    <s v="Logistics&amp;Purch. Costs"/>
    <n v="6.4"/>
    <m/>
  </r>
  <r>
    <s v="Mettler-Toledo, LLC - MTI"/>
    <s v="MTMO-US"/>
    <s v="7120900"/>
    <s v="Other Personnel Exp"/>
    <s v="Service"/>
    <n v="6570.66"/>
    <n v="11744.65"/>
  </r>
  <r>
    <s v="Mettler-Toledo, LLC - MTI"/>
    <s v="MTMO-US"/>
    <s v="7120900"/>
    <s v="Other Personnel Exp"/>
    <s v="Marketing"/>
    <n v="29780.9"/>
    <n v="9318.5"/>
  </r>
  <r>
    <s v="Mettler-Toledo, LLC - MTI"/>
    <s v="MTMO-US"/>
    <s v="7120900"/>
    <s v="Other Personnel Exp"/>
    <s v="General &amp; Admin"/>
    <n v="7501.76"/>
    <n v="11701.96"/>
  </r>
  <r>
    <s v="Mettler-Toledo, LLC - MTI"/>
    <s v="MTMO-US"/>
    <s v="ZZZZZZ2"/>
    <s v="Free of Charge COPA"/>
    <s v="Marketing"/>
    <n v="-5631.54"/>
    <n v="0"/>
  </r>
  <r>
    <s v="Mettler-Toledo, LLC - MTI"/>
    <s v="MTMO-US"/>
    <s v="ZZZZZZ3"/>
    <s v="Total PEX from COPA"/>
    <s v="Logistics&amp;Purch. Costs"/>
    <n v="0"/>
    <n v="101408.46"/>
  </r>
  <r>
    <s v="Mettler-Toledo, LLC - MTI"/>
    <s v="MTMO-US"/>
    <s v="ZZZZZZ3"/>
    <s v="Total PEX from COPA"/>
    <s v="Service"/>
    <n v="5568805.5199999996"/>
    <n v="5883161.9800000004"/>
  </r>
  <r>
    <s v="Mettler-Toledo, LLC - MTI"/>
    <s v="MTMO-US"/>
    <s v="ZZZZZZ3"/>
    <s v="Total PEX from COPA"/>
    <s v="Marketing"/>
    <n v="123953.46"/>
    <n v="5513403.75"/>
  </r>
  <r>
    <s v="Mettler-Toledo, LLC - MTI"/>
    <s v="MTMO-US"/>
    <s v="ZZZZZZ3"/>
    <s v="Total PEX from COPA"/>
    <s v="Promotion"/>
    <n v="0"/>
    <n v="99431.43"/>
  </r>
  <r>
    <s v="Mettler-Toledo, LLC - MTI"/>
    <s v="MTMO-US"/>
    <s v="ZZZZZZ3"/>
    <s v="Total PEX from COPA"/>
    <s v="General &amp; Admin"/>
    <n v="-84715.79"/>
    <n v="908120.09"/>
  </r>
  <r>
    <s v="Mettler-Toledo, LLC - MTI"/>
    <s v="MTMO-US"/>
    <s v="ZZZZZZ4"/>
    <s v="Total PEX  Cost Acco"/>
    <s v="Logistics&amp;Purch. Costs"/>
    <n v="-141242.29999999999"/>
    <n v="-109668.42"/>
  </r>
  <r>
    <s v="Mettler-Toledo, LLC - MTI"/>
    <s v="MTMO-US"/>
    <s v="ZZZZZZ4"/>
    <s v="Total PEX  Cost Acco"/>
    <s v="Service"/>
    <n v="-7457090.5099999998"/>
    <n v="-6446877.6299999999"/>
  </r>
  <r>
    <s v="Mettler-Toledo, LLC - MTI"/>
    <s v="MTMO-US"/>
    <s v="ZZZZZZ4"/>
    <s v="Total PEX  Cost Acco"/>
    <s v="Marketing"/>
    <n v="-6510878.6500000004"/>
    <n v="-5518131.7599999998"/>
  </r>
  <r>
    <s v="Mettler-Toledo, LLC - MTI"/>
    <s v="MTMO-US"/>
    <s v="ZZZZZZ4"/>
    <s v="Total PEX  Cost Acco"/>
    <s v="Promotion"/>
    <n v="-139994.01"/>
    <n v="-99431.43"/>
  </r>
  <r>
    <s v="Mettler-Toledo, LLC - MTI"/>
    <s v="MTMO-US"/>
    <s v="ZZZZZZ4"/>
    <s v="Total PEX  Cost Acco"/>
    <s v="General &amp; Admin"/>
    <n v="-778658.57"/>
    <n v="-934755.76"/>
  </r>
  <r>
    <s v="Mettler-Toledo, LLC - MTI"/>
    <s v="MTMO-US"/>
    <s v="ZZZZZZ5"/>
    <s v="Prov. For Bad Debt"/>
    <s v="General &amp; Admin"/>
    <n v="-84486.76"/>
    <n v="52662.45"/>
  </r>
  <r>
    <s v="Mettler-Toledo, LLC - MTI"/>
    <s v="MTMO-US"/>
    <s v="ZZZZZZ6"/>
    <s v="Losses on Trade AR"/>
    <s v="General &amp; Admin"/>
    <n v="-228.98"/>
    <n v="47"/>
  </r>
  <r>
    <s v="Mettler-Toledo, LLC - MTI"/>
    <s v="MTMO-US"/>
    <s v="ZZZZZZ7"/>
    <s v="Net Loss/Gain on Dis"/>
    <s v="General &amp; Admin"/>
    <m/>
    <n v="-19168.36"/>
  </r>
  <r>
    <s v="Mettler-Toledo, LLC - MTI"/>
    <s v="MTMO-US"/>
    <s v="ZZZZZ11"/>
    <s v="Other Expense"/>
    <s v="General &amp; Admin"/>
    <n v="-0.05"/>
    <m/>
  </r>
  <r>
    <s v="Mettler-Toledo, LLC - MTI"/>
    <s v="MTMO-US"/>
    <s v="TOP_01"/>
    <s v="Total Personnel Expe"/>
    <s v="Logistics&amp;Purch. Costs"/>
    <n v="143622.87"/>
    <n v="117215.87"/>
  </r>
  <r>
    <s v="Mettler-Toledo, LLC - MTI"/>
    <s v="MTMO-US"/>
    <s v="TOP_01"/>
    <s v="Total Personnel Expe"/>
    <s v="Service"/>
    <n v="5541024.6500000004"/>
    <n v="5095553.6100000003"/>
  </r>
  <r>
    <s v="Mettler-Toledo, LLC - MTI"/>
    <s v="MTMO-US"/>
    <s v="TOP_01"/>
    <s v="Total Personnel Expe"/>
    <s v="Marketing"/>
    <n v="5478650.0099999998"/>
    <n v="4759629.24"/>
  </r>
  <r>
    <s v="Mettler-Toledo, LLC - MTI"/>
    <s v="MTMO-US"/>
    <s v="TOP_01"/>
    <s v="Total Personnel Expe"/>
    <s v="General &amp; Admin"/>
    <n v="451189.15"/>
    <n v="426158.77"/>
  </r>
  <r>
    <s v="Mettler-Toledo, LLC - MTI"/>
    <s v="MTMO-US"/>
    <s v="TOP_01_01"/>
    <s v="Base Compensation"/>
    <s v="Logistics&amp;Purch. Costs"/>
    <n v="106721.01"/>
    <n v="97559.039999999994"/>
  </r>
  <r>
    <s v="Mettler-Toledo, LLC - MTI"/>
    <s v="MTMO-US"/>
    <s v="TOP_01_01"/>
    <s v="Base Compensation"/>
    <s v="Service"/>
    <n v="4008339.49"/>
    <n v="3843875.52"/>
  </r>
  <r>
    <s v="Mettler-Toledo, LLC - MTI"/>
    <s v="MTMO-US"/>
    <s v="TOP_01_01"/>
    <s v="Base Compensation"/>
    <s v="Marketing"/>
    <n v="3277590.2"/>
    <n v="2975767.74"/>
  </r>
  <r>
    <s v="Mettler-Toledo, LLC - MTI"/>
    <s v="MTMO-US"/>
    <s v="TOP_01_01"/>
    <s v="Base Compensation"/>
    <s v="General &amp; Admin"/>
    <n v="321186.01"/>
    <n v="322047.81"/>
  </r>
  <r>
    <s v="Mettler-Toledo, LLC - MTI"/>
    <s v="MTMO-US"/>
    <s v="TOP_01_02"/>
    <s v="Social Costs / Benef"/>
    <s v="Logistics&amp;Purch. Costs"/>
    <n v="25438.86"/>
    <n v="22239.16"/>
  </r>
  <r>
    <s v="Mettler-Toledo, LLC - MTI"/>
    <s v="MTMO-US"/>
    <s v="TOP_01_02"/>
    <s v="Social Costs / Benef"/>
    <s v="Service"/>
    <n v="1094407.44"/>
    <n v="1010367.68"/>
  </r>
  <r>
    <s v="Mettler-Toledo, LLC - MTI"/>
    <s v="MTMO-US"/>
    <s v="TOP_01_02"/>
    <s v="Social Costs / Benef"/>
    <s v="Marketing"/>
    <n v="908075.52000000002"/>
    <n v="828132.44"/>
  </r>
  <r>
    <s v="Mettler-Toledo, LLC - MTI"/>
    <s v="MTMO-US"/>
    <s v="TOP_01_02"/>
    <s v="Social Costs / Benef"/>
    <s v="General &amp; Admin"/>
    <n v="77185.350000000006"/>
    <n v="74387.41"/>
  </r>
  <r>
    <s v="Mettler-Toledo, LLC - MTI"/>
    <s v="MTMO-US"/>
    <s v="TOP_01_03"/>
    <s v="Other Personnel Expe"/>
    <s v="Logistics&amp;Purch. Costs"/>
    <n v="6.4"/>
    <m/>
  </r>
  <r>
    <s v="Mettler-Toledo, LLC - MTI"/>
    <s v="MTMO-US"/>
    <s v="TOP_01_03"/>
    <s v="Other Personnel Expe"/>
    <s v="Service"/>
    <n v="17710.97"/>
    <n v="24097.14"/>
  </r>
  <r>
    <s v="Mettler-Toledo, LLC - MTI"/>
    <s v="MTMO-US"/>
    <s v="TOP_01_03"/>
    <s v="Other Personnel Expe"/>
    <s v="Marketing"/>
    <n v="44942.98"/>
    <n v="27494.15"/>
  </r>
  <r>
    <s v="Mettler-Toledo, LLC - MTI"/>
    <s v="MTMO-US"/>
    <s v="TOP_01_03"/>
    <s v="Other Personnel Expe"/>
    <s v="General &amp; Admin"/>
    <n v="17910.04"/>
    <n v="16979.509999999998"/>
  </r>
  <r>
    <s v="Mettler-Toledo, LLC - MTI"/>
    <s v="MTMO-US"/>
    <s v="TOP_01_04"/>
    <s v="Bonus"/>
    <s v="Logistics&amp;Purch. Costs"/>
    <n v="9066.33"/>
    <n v="-4104.43"/>
  </r>
  <r>
    <s v="Mettler-Toledo, LLC - MTI"/>
    <s v="MTMO-US"/>
    <s v="TOP_01_04"/>
    <s v="Bonus"/>
    <s v="Service"/>
    <n v="189562.61"/>
    <n v="68593.98"/>
  </r>
  <r>
    <s v="Mettler-Toledo, LLC - MTI"/>
    <s v="MTMO-US"/>
    <s v="TOP_01_04"/>
    <s v="Bonus"/>
    <s v="Marketing"/>
    <n v="77650.14"/>
    <n v="-18234.75"/>
  </r>
  <r>
    <s v="Mettler-Toledo, LLC - MTI"/>
    <s v="MTMO-US"/>
    <s v="TOP_01_04"/>
    <s v="Bonus"/>
    <s v="General &amp; Admin"/>
    <n v="34907.75"/>
    <n v="12744.04"/>
  </r>
  <r>
    <s v="Mettler-Toledo, LLC - MTI"/>
    <s v="MTMO-US"/>
    <s v="7130050"/>
    <s v="Bonus Expense Local"/>
    <s v="Logistics&amp;Purch. Costs"/>
    <n v="3031.33"/>
    <n v="1286.57"/>
  </r>
  <r>
    <s v="Mettler-Toledo, LLC - MTI"/>
    <s v="MTMO-US"/>
    <s v="7130050"/>
    <s v="Bonus Expense Local"/>
    <s v="Service"/>
    <n v="173385.61"/>
    <n v="87519.01"/>
  </r>
  <r>
    <s v="Mettler-Toledo, LLC - MTI"/>
    <s v="MTMO-US"/>
    <s v="7130050"/>
    <s v="Bonus Expense Local"/>
    <s v="Marketing"/>
    <n v="47643.14"/>
    <n v="19260.63"/>
  </r>
  <r>
    <s v="Mettler-Toledo, LLC - MTI"/>
    <s v="MTMO-US"/>
    <s v="7130050"/>
    <s v="Bonus Expense Local"/>
    <s v="General &amp; Admin"/>
    <n v="8566.75"/>
    <n v="4128.04"/>
  </r>
  <r>
    <s v="Mettler-Toledo, LLC - MTI"/>
    <s v="MTMO-US"/>
    <s v="7130100"/>
    <s v="Bonus Expense POBS"/>
    <s v="Logistics&amp;Purch. Costs"/>
    <n v="6035"/>
    <n v="-5391"/>
  </r>
  <r>
    <s v="Mettler-Toledo, LLC - MTI"/>
    <s v="MTMO-US"/>
    <s v="7130100"/>
    <s v="Bonus Expense POBS"/>
    <s v="Service"/>
    <n v="16177"/>
    <n v="-18925.03"/>
  </r>
  <r>
    <s v="Mettler-Toledo, LLC - MTI"/>
    <s v="MTMO-US"/>
    <s v="7130100"/>
    <s v="Bonus Expense POBS"/>
    <s v="Marketing"/>
    <n v="30007"/>
    <n v="-37495.379999999997"/>
  </r>
  <r>
    <s v="Mettler-Toledo, LLC - MTI"/>
    <s v="MTMO-US"/>
    <s v="7130100"/>
    <s v="Bonus Expense POBS"/>
    <s v="General &amp; Admin"/>
    <n v="26341"/>
    <n v="8616"/>
  </r>
  <r>
    <s v="Mettler-Toledo, LLC - MTI"/>
    <s v="MTMO-US"/>
    <s v="TOP_01_05"/>
    <s v="Commissions / Other"/>
    <s v="Logistics&amp;Purch. Costs"/>
    <n v="2390.27"/>
    <n v="1522.1"/>
  </r>
  <r>
    <s v="Mettler-Toledo, LLC - MTI"/>
    <s v="MTMO-US"/>
    <s v="TOP_01_05"/>
    <s v="Commissions / Other"/>
    <s v="Service"/>
    <n v="231004.14"/>
    <n v="148619.29"/>
  </r>
  <r>
    <s v="Mettler-Toledo, LLC - MTI"/>
    <s v="MTMO-US"/>
    <s v="TOP_01_05"/>
    <s v="Commissions / Other"/>
    <s v="Marketing"/>
    <n v="1170391.17"/>
    <n v="946469.66"/>
  </r>
  <r>
    <s v="Mettler-Toledo, LLC - MTI"/>
    <s v="MTMO-US"/>
    <s v="TOP_01_05"/>
    <s v="Commissions / Other"/>
    <s v="General &amp; Admin"/>
    <m/>
    <n v="0"/>
  </r>
  <r>
    <s v="Mettler-Toledo, LLC - MTI"/>
    <s v="MTMO-US"/>
    <s v="7140050"/>
    <s v="Empl. Sales Comm."/>
    <s v="Logistics&amp;Purch. Costs"/>
    <n v="2390.27"/>
    <n v="1522.1"/>
  </r>
  <r>
    <s v="Mettler-Toledo, LLC - MTI"/>
    <s v="MTMO-US"/>
    <s v="7140050"/>
    <s v="Empl. Sales Comm."/>
    <s v="Service"/>
    <n v="207053.97"/>
    <n v="148619.29"/>
  </r>
  <r>
    <s v="Mettler-Toledo, LLC - MTI"/>
    <s v="MTMO-US"/>
    <s v="7140050"/>
    <s v="Empl. Sales Comm."/>
    <s v="Marketing"/>
    <n v="1027291.34"/>
    <n v="749779.65"/>
  </r>
  <r>
    <s v="Mettler-Toledo, LLC - MTI"/>
    <s v="MTMO-US"/>
    <s v="7140050"/>
    <s v="Empl. Sales Comm."/>
    <s v="General &amp; Admin"/>
    <m/>
    <n v="0"/>
  </r>
  <r>
    <s v="Mettler-Toledo, LLC - MTI"/>
    <s v="MTMO-US"/>
    <s v="7140100"/>
    <s v="Other Spec. Incent."/>
    <s v="Service"/>
    <n v="23950.17"/>
    <m/>
  </r>
  <r>
    <s v="Mettler-Toledo, LLC - MTI"/>
    <s v="MTMO-US"/>
    <s v="7140100"/>
    <s v="Other Spec. Incent."/>
    <s v="Marketing"/>
    <n v="143099.82999999999"/>
    <n v="196690.01"/>
  </r>
  <r>
    <s v="Mettler-Toledo, LLC - MTI"/>
    <s v="MTMO-US"/>
    <s v="TOP_02"/>
    <s v="Travel and Entertain"/>
    <s v="Logistics&amp;Purch. Costs"/>
    <n v="6.49"/>
    <n v="-6648.65"/>
  </r>
  <r>
    <s v="Mettler-Toledo, LLC - MTI"/>
    <s v="MTMO-US"/>
    <s v="TOP_02"/>
    <s v="Travel and Entertain"/>
    <s v="Service"/>
    <n v="367774.53"/>
    <n v="275155.52"/>
  </r>
  <r>
    <s v="Mettler-Toledo, LLC - MTI"/>
    <s v="MTMO-US"/>
    <s v="TOP_02"/>
    <s v="Travel and Entertain"/>
    <s v="Marketing"/>
    <n v="336299.34"/>
    <n v="273188.40999999997"/>
  </r>
  <r>
    <s v="Mettler-Toledo, LLC - MTI"/>
    <s v="MTMO-US"/>
    <s v="TOP_02"/>
    <s v="Travel and Entertain"/>
    <s v="Promotion"/>
    <m/>
    <m/>
  </r>
  <r>
    <s v="Mettler-Toledo, LLC - MTI"/>
    <s v="MTMO-US"/>
    <s v="TOP_02"/>
    <s v="Travel and Entertain"/>
    <s v="General &amp; Admin"/>
    <n v="17724.939999999999"/>
    <n v="-39646.879999999997"/>
  </r>
  <r>
    <s v="Mettler-Toledo, LLC - MTI"/>
    <s v="MTMO-US"/>
    <s v="TOP_03"/>
    <s v="Agent Commissions /"/>
    <s v="Marketing"/>
    <n v="129585"/>
    <n v="96293.33"/>
  </r>
  <r>
    <s v="Mettler-Toledo, LLC - MTI"/>
    <s v="MTMO-US"/>
    <s v="ZZZZZZ1"/>
    <s v="Commissions - COPA"/>
    <s v="Marketing"/>
    <n v="129585"/>
    <n v="96293.33"/>
  </r>
  <r>
    <s v="Mettler-Toledo, LLC - MTI"/>
    <s v="MTMO-US"/>
    <s v="TOP_04"/>
    <s v="Maintenance and Util"/>
    <s v="Logistics&amp;Purch. Costs"/>
    <n v="-91.3"/>
    <m/>
  </r>
  <r>
    <s v="Mettler-Toledo, LLC - MTI"/>
    <s v="MTMO-US"/>
    <s v="TOP_04"/>
    <s v="Maintenance and Util"/>
    <s v="Service"/>
    <n v="80505.710000000006"/>
    <n v="60529.34"/>
  </r>
  <r>
    <s v="Mettler-Toledo, LLC - MTI"/>
    <s v="MTMO-US"/>
    <s v="TOP_04"/>
    <s v="Maintenance and Util"/>
    <s v="Marketing"/>
    <n v="92228.28"/>
    <n v="97959.32"/>
  </r>
  <r>
    <s v="Mettler-Toledo, LLC - MTI"/>
    <s v="MTMO-US"/>
    <s v="TOP_04"/>
    <s v="Maintenance and Util"/>
    <s v="General &amp; Admin"/>
    <n v="96044.45"/>
    <n v="112363.34"/>
  </r>
  <r>
    <s v="Mettler-Toledo, LLC - MTI"/>
    <s v="MTMO-US"/>
    <s v="TOP_15"/>
    <s v="Telecommunications"/>
    <s v="Logistics&amp;Purch. Costs"/>
    <n v="570.71"/>
    <n v="523.51"/>
  </r>
  <r>
    <s v="Mettler-Toledo, LLC - MTI"/>
    <s v="MTMO-US"/>
    <s v="TOP_15"/>
    <s v="Telecommunications"/>
    <s v="Service"/>
    <n v="37183.64"/>
    <n v="37837.51"/>
  </r>
  <r>
    <s v="Mettler-Toledo, LLC - MTI"/>
    <s v="MTMO-US"/>
    <s v="TOP_15"/>
    <s v="Telecommunications"/>
    <s v="Marketing"/>
    <n v="25021.51"/>
    <n v="31142.19"/>
  </r>
  <r>
    <s v="Mettler-Toledo, LLC - MTI"/>
    <s v="MTMO-US"/>
    <s v="TOP_15"/>
    <s v="Telecommunications"/>
    <s v="General &amp; Admin"/>
    <n v="22799.8"/>
    <n v="14797.52"/>
  </r>
  <r>
    <s v="Mettler-Toledo, LLC - MTI"/>
    <s v="MTMO-US"/>
    <s v="TOP_05"/>
    <s v="Vehicle Costs"/>
    <s v="Logistics&amp;Purch. Costs"/>
    <n v="682.82"/>
    <n v="656.28"/>
  </r>
  <r>
    <s v="Mettler-Toledo, LLC - MTI"/>
    <s v="MTMO-US"/>
    <s v="TOP_05"/>
    <s v="Vehicle Costs"/>
    <s v="Service"/>
    <n v="1084185.05"/>
    <n v="924135.1"/>
  </r>
  <r>
    <s v="Mettler-Toledo, LLC - MTI"/>
    <s v="MTMO-US"/>
    <s v="TOP_05"/>
    <s v="Vehicle Costs"/>
    <s v="Marketing"/>
    <n v="250463.12"/>
    <n v="134969.17000000001"/>
  </r>
  <r>
    <s v="Mettler-Toledo, LLC - MTI"/>
    <s v="MTMO-US"/>
    <s v="TOP_05"/>
    <s v="Vehicle Costs"/>
    <s v="General &amp; Admin"/>
    <n v="-43398.31"/>
    <n v="163180.89000000001"/>
  </r>
  <r>
    <s v="Mettler-Toledo, LLC - MTI"/>
    <s v="MTMO-US"/>
    <s v="TOP_06"/>
    <s v="Promotion and Advert"/>
    <s v="Service"/>
    <n v="2362.83"/>
    <n v="-16.920000000000002"/>
  </r>
  <r>
    <s v="Mettler-Toledo, LLC - MTI"/>
    <s v="MTMO-US"/>
    <s v="TOP_06"/>
    <s v="Promotion and Advert"/>
    <s v="Marketing"/>
    <n v="30936.82"/>
    <n v="57286.77"/>
  </r>
  <r>
    <s v="Mettler-Toledo, LLC - MTI"/>
    <s v="MTMO-US"/>
    <s v="TOP_06"/>
    <s v="Promotion and Advert"/>
    <s v="Promotion"/>
    <n v="139560.34"/>
    <n v="99295.43"/>
  </r>
  <r>
    <s v="Mettler-Toledo, LLC - MTI"/>
    <s v="MTMO-US"/>
    <s v="TOP_06"/>
    <s v="Promotion and Advert"/>
    <s v="General &amp; Admin"/>
    <n v="-183.1"/>
    <m/>
  </r>
  <r>
    <s v="Mettler-Toledo, LLC - MTI"/>
    <s v="MTMO-US"/>
    <s v="TOP_07"/>
    <s v="Hardware / Software"/>
    <s v="Logistics&amp;Purch. Costs"/>
    <n v="473.03"/>
    <n v="34.22"/>
  </r>
  <r>
    <s v="Mettler-Toledo, LLC - MTI"/>
    <s v="MTMO-US"/>
    <s v="TOP_07"/>
    <s v="Hardware / Software"/>
    <s v="Service"/>
    <n v="3841.73"/>
    <n v="773.21"/>
  </r>
  <r>
    <s v="Mettler-Toledo, LLC - MTI"/>
    <s v="MTMO-US"/>
    <s v="TOP_07"/>
    <s v="Hardware / Software"/>
    <s v="Marketing"/>
    <n v="27856.81"/>
    <n v="5353.19"/>
  </r>
  <r>
    <s v="Mettler-Toledo, LLC - MTI"/>
    <s v="MTMO-US"/>
    <s v="TOP_07"/>
    <s v="Hardware / Software"/>
    <s v="General &amp; Admin"/>
    <n v="9643.58"/>
    <n v="9286.8700000000008"/>
  </r>
  <r>
    <s v="Mettler-Toledo, LLC - MTI"/>
    <s v="MTMO-US"/>
    <s v="TOP_08"/>
    <s v="R&amp;D Materials &amp; Sub-"/>
    <s v="Service"/>
    <m/>
    <m/>
  </r>
  <r>
    <s v="Mettler-Toledo, LLC - MTI"/>
    <s v="MTMO-US"/>
    <s v="TOP_08"/>
    <s v="R&amp;D Materials &amp; Sub-"/>
    <s v="Marketing"/>
    <m/>
    <m/>
  </r>
  <r>
    <s v="Mettler-Toledo, LLC - MTI"/>
    <s v="MTMO-US"/>
    <s v="TOP_09"/>
    <s v="Audit &amp; SOX costs"/>
    <s v="Logistics&amp;Purch. Costs"/>
    <m/>
    <m/>
  </r>
  <r>
    <s v="Mettler-Toledo, LLC - MTI"/>
    <s v="MTMO-US"/>
    <s v="TOP_09"/>
    <s v="Audit &amp; SOX costs"/>
    <s v="Service"/>
    <m/>
    <m/>
  </r>
  <r>
    <s v="Mettler-Toledo, LLC - MTI"/>
    <s v="MTMO-US"/>
    <s v="TOP_09"/>
    <s v="Audit &amp; SOX costs"/>
    <s v="General &amp; Admin"/>
    <n v="22363.58"/>
    <n v="21920.83"/>
  </r>
  <r>
    <s v="Mettler-Toledo, LLC - MTI"/>
    <s v="MTMO-US"/>
    <s v="TOP_10"/>
    <s v="Consultants &amp; Other"/>
    <s v="Logistics&amp;Purch. Costs"/>
    <n v="7285.25"/>
    <n v="3350"/>
  </r>
  <r>
    <s v="Mettler-Toledo, LLC - MTI"/>
    <s v="MTMO-US"/>
    <s v="TOP_10"/>
    <s v="Consultants &amp; Other"/>
    <s v="Service"/>
    <n v="38966.78"/>
    <n v="30131.64"/>
  </r>
  <r>
    <s v="Mettler-Toledo, LLC - MTI"/>
    <s v="MTMO-US"/>
    <s v="TOP_10"/>
    <s v="Consultants &amp; Other"/>
    <s v="Marketing"/>
    <n v="27562.63"/>
    <n v="16867.189999999999"/>
  </r>
  <r>
    <s v="Mettler-Toledo, LLC - MTI"/>
    <s v="MTMO-US"/>
    <s v="TOP_10"/>
    <s v="Consultants &amp; Other"/>
    <s v="General &amp; Admin"/>
    <n v="15095"/>
    <n v="22555.66"/>
  </r>
  <r>
    <s v="Mettler-Toledo, LLC - MTI"/>
    <s v="MTMO-US"/>
    <s v="TOP_11"/>
    <s v="Depreciation"/>
    <s v="Logistics&amp;Purch. Costs"/>
    <n v="95.76"/>
    <n v="95.76"/>
  </r>
  <r>
    <s v="Mettler-Toledo, LLC - MTI"/>
    <s v="MTMO-US"/>
    <s v="TOP_11"/>
    <s v="Depreciation"/>
    <s v="Service"/>
    <n v="54865.35"/>
    <n v="52490.78"/>
  </r>
  <r>
    <s v="Mettler-Toledo, LLC - MTI"/>
    <s v="MTMO-US"/>
    <s v="TOP_11"/>
    <s v="Depreciation"/>
    <s v="Marketing"/>
    <n v="3520"/>
    <n v="3755.01"/>
  </r>
  <r>
    <s v="Mettler-Toledo, LLC - MTI"/>
    <s v="MTMO-US"/>
    <s v="TOP_11"/>
    <s v="Depreciation"/>
    <s v="General &amp; Admin"/>
    <n v="16120.97"/>
    <n v="24066.76"/>
  </r>
  <r>
    <s v="Mettler-Toledo, LLC - MTI"/>
    <s v="MTMO-US"/>
    <s v="TOP_12"/>
    <s v="Capex not Capitalize"/>
    <s v="Logistics&amp;Purch. Costs"/>
    <m/>
    <n v="107.48"/>
  </r>
  <r>
    <s v="Mettler-Toledo, LLC - MTI"/>
    <s v="MTMO-US"/>
    <s v="TOP_12"/>
    <s v="Capex not Capitalize"/>
    <s v="Service"/>
    <n v="52542.07"/>
    <n v="13409.4"/>
  </r>
  <r>
    <s v="Mettler-Toledo, LLC - MTI"/>
    <s v="MTMO-US"/>
    <s v="TOP_12"/>
    <s v="Capex not Capitalize"/>
    <s v="Marketing"/>
    <n v="3152.38"/>
    <n v="4778.1499999999996"/>
  </r>
  <r>
    <s v="Mettler-Toledo, LLC - MTI"/>
    <s v="MTMO-US"/>
    <s v="TOP_12"/>
    <s v="Capex not Capitalize"/>
    <s v="Promotion"/>
    <n v="192"/>
    <n v="136"/>
  </r>
  <r>
    <s v="Mettler-Toledo, LLC - MTI"/>
    <s v="MTMO-US"/>
    <s v="TOP_12"/>
    <s v="Capex not Capitalize"/>
    <s v="General &amp; Admin"/>
    <n v="37864.519999999997"/>
    <n v="22933.55"/>
  </r>
  <r>
    <s v="Mettler-Toledo, LLC - MTI"/>
    <s v="MTMO-US"/>
    <s v="TOP_16"/>
    <s v="Total Other Period E"/>
    <s v="Logistics&amp;Purch. Costs"/>
    <n v="-141204.34"/>
    <n v="-8274.59"/>
  </r>
  <r>
    <s v="Mettler-Toledo, LLC - MTI"/>
    <s v="MTMO-US"/>
    <s v="TOP_16"/>
    <s v="Total Other Period E"/>
    <s v="Service"/>
    <n v="-1788411.62"/>
    <n v="-572564.26"/>
  </r>
  <r>
    <s v="Mettler-Toledo, LLC - MTI"/>
    <s v="MTMO-US"/>
    <s v="TOP_16"/>
    <s v="Total Other Period E"/>
    <s v="Marketing"/>
    <n v="-6291474.4900000002"/>
    <n v="44656.76"/>
  </r>
  <r>
    <s v="Mettler-Toledo, LLC - MTI"/>
    <s v="MTMO-US"/>
    <s v="TOP_16"/>
    <s v="Total Other Period E"/>
    <s v="Promotion"/>
    <n v="-139752.34"/>
    <n v="0"/>
  </r>
  <r>
    <s v="Mettler-Toledo, LLC - MTI"/>
    <s v="MTMO-US"/>
    <s v="TOP_16"/>
    <s v="Total Other Period E"/>
    <s v="General &amp; Admin"/>
    <n v="-875253.86"/>
    <n v="-10580.92"/>
  </r>
  <r>
    <s v="Mettler-Toledo, LLC - MTI"/>
    <s v="MTMO-US"/>
    <s v="TOP_16_01"/>
    <s v="Other Period Expense"/>
    <s v="Logistics&amp;Purch. Costs"/>
    <n v="37.96"/>
    <n v="-14.63"/>
  </r>
  <r>
    <s v="Mettler-Toledo, LLC - MTI"/>
    <s v="MTMO-US"/>
    <s v="TOP_16_01"/>
    <s v="Other Period Expense"/>
    <s v="Service"/>
    <n v="99873.37"/>
    <n v="-8848.61"/>
  </r>
  <r>
    <s v="Mettler-Toledo, LLC - MTI"/>
    <s v="MTMO-US"/>
    <s v="TOP_16_01"/>
    <s v="Other Period Expense"/>
    <s v="Marketing"/>
    <n v="95450.7"/>
    <n v="49384.77"/>
  </r>
  <r>
    <s v="Mettler-Toledo, LLC - MTI"/>
    <s v="MTMO-US"/>
    <s v="TOP_16_01"/>
    <s v="Other Period Expense"/>
    <s v="Promotion"/>
    <n v="241.67"/>
    <m/>
  </r>
  <r>
    <s v="Mettler-Toledo, LLC - MTI"/>
    <s v="MTMO-US"/>
    <s v="TOP_16_01"/>
    <s v="Other Period Expense"/>
    <s v="General &amp; Admin"/>
    <n v="-11879.5"/>
    <n v="16054.75"/>
  </r>
  <r>
    <s v="Mettler-Toledo, LLC - MTI"/>
    <s v="MTMO-US"/>
    <s v="TOP_16_02"/>
    <s v="Other Period Expense"/>
    <s v="Logistics&amp;Purch. Costs"/>
    <n v="-141242.29999999999"/>
    <n v="-8259.9599999999991"/>
  </r>
  <r>
    <s v="Mettler-Toledo, LLC - MTI"/>
    <s v="MTMO-US"/>
    <s v="TOP_16_02"/>
    <s v="Other Period Expense"/>
    <s v="Service"/>
    <n v="-1888284.99"/>
    <n v="-563715.65"/>
  </r>
  <r>
    <s v="Mettler-Toledo, LLC - MTI"/>
    <s v="MTMO-US"/>
    <s v="TOP_16_02"/>
    <s v="Other Period Expense"/>
    <s v="Marketing"/>
    <n v="-6386925.1900000004"/>
    <n v="-4728.01"/>
  </r>
  <r>
    <s v="Mettler-Toledo, LLC - MTI"/>
    <s v="MTMO-US"/>
    <s v="TOP_16_02"/>
    <s v="Other Period Expense"/>
    <s v="Promotion"/>
    <n v="-139994.01"/>
    <n v="0"/>
  </r>
  <r>
    <s v="Mettler-Toledo, LLC - MTI"/>
    <s v="MTMO-US"/>
    <s v="TOP_16_02"/>
    <s v="Other Period Expense"/>
    <s v="General &amp; Admin"/>
    <n v="-863374.36"/>
    <n v="-26635.67"/>
  </r>
  <r>
    <s v="Mettler-Toledo, LLC - MTI"/>
    <s v="MTMO-US"/>
    <s v="TOP_14"/>
    <s v="Intercompany Charges"/>
    <s v="Logistics&amp;Purch. Costs"/>
    <n v="-11441.29"/>
    <n v="-5651.42"/>
  </r>
  <r>
    <s v="Mettler-Toledo, LLC - MTI"/>
    <s v="MTMO-US"/>
    <s v="TOP_14"/>
    <s v="Intercompany Charges"/>
    <s v="Service"/>
    <n v="93964.800000000003"/>
    <n v="-34272.949999999997"/>
  </r>
  <r>
    <s v="Mettler-Toledo, LLC - MTI"/>
    <s v="MTMO-US"/>
    <s v="TOP_14"/>
    <s v="Intercompany Charges"/>
    <s v="Marketing"/>
    <n v="10152.049999999999"/>
    <n v="-12474.98"/>
  </r>
  <r>
    <s v="Mettler-Toledo, LLC - MTI"/>
    <s v="MTMO-US"/>
    <s v="TOP_14"/>
    <s v="Intercompany Charges"/>
    <s v="General &amp; Admin"/>
    <n v="145273.49"/>
    <n v="141083.70000000001"/>
  </r>
  <r>
    <s v="Mettler-Toledo, LLC - MTI"/>
    <s v="MTMO-US"/>
    <s v="Not Assigned Cost Element (s)"/>
    <s v=""/>
    <s v="Fixed Manufacturing Costs"/>
    <n v="0"/>
    <n v="-12733.13"/>
  </r>
  <r>
    <s v="Mettler-Toledo, LLC - MTI"/>
    <s v="MTMO-US"/>
    <s v="Not Assigned Cost Element (s)"/>
    <s v=""/>
    <s v="Logistics&amp;Purch. Costs"/>
    <n v="0"/>
    <n v="-109668.42"/>
  </r>
  <r>
    <s v="Mettler-Toledo, LLC - MTI"/>
    <s v="MTMO-US"/>
    <s v="Not Assigned Cost Element (s)"/>
    <s v=""/>
    <s v="Service"/>
    <n v="-6005931.2999999998"/>
    <n v="-6188612.8499999996"/>
  </r>
  <r>
    <s v="Mettler-Toledo, LLC - MTI"/>
    <s v="MTMO-US"/>
    <s v="Not Assigned Cost Element (s)"/>
    <s v=""/>
    <s v="Marketing"/>
    <n v="-50112.72"/>
    <n v="-5421838.4299999997"/>
  </r>
  <r>
    <s v="Mettler-Toledo, LLC - MTI"/>
    <s v="MTMO-US"/>
    <s v="Not Assigned Cost Element (s)"/>
    <s v=""/>
    <s v="Promotion"/>
    <m/>
    <n v="-99431.43"/>
  </r>
  <r>
    <s v="Mettler-Toledo, LLC - MTI"/>
    <s v="MTMO-US"/>
    <s v="Not Assigned Cost Element (s)"/>
    <s v=""/>
    <s v="General &amp; Admin"/>
    <n v="-31844.23"/>
    <n v="-901214.67"/>
  </r>
  <r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2">
  <r>
    <s v="Mettler-Toledo, LLC - MTI"/>
    <s v="MTMO-US"/>
    <s v="TOP"/>
    <s v="Total Period Expense"/>
    <x v="0"/>
    <n v="0"/>
    <n v="101408.46"/>
    <x v="0"/>
  </r>
  <r>
    <s v="Mettler-Toledo, LLC - MTI"/>
    <s v="MTMO-US"/>
    <s v="TOP"/>
    <s v="Total Period Expense"/>
    <x v="1"/>
    <n v="5568805.5199999996"/>
    <n v="5883161.9800000004"/>
    <x v="0"/>
  </r>
  <r>
    <s v="Mettler-Toledo, LLC - MTI"/>
    <s v="MTMO-US"/>
    <s v="TOP"/>
    <s v="Total Period Expense"/>
    <x v="2"/>
    <n v="123953.46"/>
    <n v="5513403.75"/>
    <x v="0"/>
  </r>
  <r>
    <s v="Mettler-Toledo, LLC - MTI"/>
    <s v="MTMO-US"/>
    <s v="TOP"/>
    <s v="Total Period Expense"/>
    <x v="3"/>
    <n v="0"/>
    <n v="99431.43"/>
    <x v="0"/>
  </r>
  <r>
    <s v="Mettler-Toledo, LLC - MTI"/>
    <s v="MTMO-US"/>
    <s v="TOP"/>
    <s v="Total Period Expense"/>
    <x v="4"/>
    <n v="-84715.79"/>
    <n v="908120.09"/>
    <x v="0"/>
  </r>
  <r>
    <s v="Mettler-Toledo, LLC - MTI"/>
    <s v="MTMO-US"/>
    <s v="TOP_00"/>
    <s v="Total PEX ex-Bonus/C"/>
    <x v="0"/>
    <n v="-11456.6"/>
    <n v="103990.79"/>
    <x v="0"/>
  </r>
  <r>
    <s v="Mettler-Toledo, LLC - MTI"/>
    <s v="MTMO-US"/>
    <s v="TOP_00"/>
    <s v="Total PEX ex-Bonus/C"/>
    <x v="1"/>
    <n v="5148238.7699999996"/>
    <n v="5665948.71"/>
    <x v="0"/>
  </r>
  <r>
    <s v="Mettler-Toledo, LLC - MTI"/>
    <s v="MTMO-US"/>
    <s v="TOP_00"/>
    <s v="Total PEX ex-Bonus/C"/>
    <x v="2"/>
    <n v="-1253672.8500000001"/>
    <n v="4488875.51"/>
    <x v="0"/>
  </r>
  <r>
    <s v="Mettler-Toledo, LLC - MTI"/>
    <s v="MTMO-US"/>
    <s v="TOP_00"/>
    <s v="Total PEX ex-Bonus/C"/>
    <x v="3"/>
    <n v="0"/>
    <n v="99431.43"/>
    <x v="0"/>
  </r>
  <r>
    <s v="Mettler-Toledo, LLC - MTI"/>
    <s v="MTMO-US"/>
    <s v="TOP_00"/>
    <s v="Total PEX ex-Bonus/C"/>
    <x v="4"/>
    <n v="-119623.54"/>
    <n v="895376.05"/>
    <x v="0"/>
  </r>
  <r>
    <s v="Mettler-Toledo, LLC - MTI"/>
    <s v="MTMO-US"/>
    <s v="7210100"/>
    <s v="Building Rent"/>
    <x v="0"/>
    <n v="2780.41"/>
    <m/>
    <x v="1"/>
  </r>
  <r>
    <s v="Mettler-Toledo, LLC - MTI"/>
    <s v="MTMO-US"/>
    <s v="7210100"/>
    <s v="Building Rent"/>
    <x v="1"/>
    <n v="50616.63"/>
    <n v="23867.78"/>
    <x v="1"/>
  </r>
  <r>
    <s v="Mettler-Toledo, LLC - MTI"/>
    <s v="MTMO-US"/>
    <s v="7210100"/>
    <s v="Building Rent"/>
    <x v="2"/>
    <n v="85371.63"/>
    <n v="90234.69"/>
    <x v="1"/>
  </r>
  <r>
    <s v="Mettler-Toledo, LLC - MTI"/>
    <s v="MTMO-US"/>
    <s v="7210100"/>
    <s v="Building Rent"/>
    <x v="4"/>
    <m/>
    <m/>
    <x v="1"/>
  </r>
  <r>
    <s v="Mettler-Toledo, LLC - MTI"/>
    <s v="MTMO-US"/>
    <s v="7210110"/>
    <s v="Mov. Assets Rent"/>
    <x v="4"/>
    <m/>
    <m/>
    <x v="1"/>
  </r>
  <r>
    <s v="Mettler-Toledo, LLC - MTI"/>
    <s v="MTMO-US"/>
    <s v="7210111"/>
    <s v="MaintBuilding-Leased"/>
    <x v="0"/>
    <n v="-2871.71"/>
    <m/>
    <x v="1"/>
  </r>
  <r>
    <s v="Mettler-Toledo, LLC - MTI"/>
    <s v="MTMO-US"/>
    <s v="7210111"/>
    <s v="MaintBuilding-Leased"/>
    <x v="1"/>
    <n v="-2426.86"/>
    <n v="3048.2"/>
    <x v="1"/>
  </r>
  <r>
    <s v="Mettler-Toledo, LLC - MTI"/>
    <s v="MTMO-US"/>
    <s v="7210111"/>
    <s v="MaintBuilding-Leased"/>
    <x v="2"/>
    <n v="1836.22"/>
    <n v="332.95"/>
    <x v="1"/>
  </r>
  <r>
    <s v="Mettler-Toledo, LLC - MTI"/>
    <s v="MTMO-US"/>
    <s v="7210111"/>
    <s v="MaintBuilding-Leased"/>
    <x v="4"/>
    <n v="77936.72"/>
    <n v="98177.04"/>
    <x v="1"/>
  </r>
  <r>
    <s v="Mettler-Toledo, LLC - MTI"/>
    <s v="MTMO-US"/>
    <s v="7210112"/>
    <s v="Utility-Elect-Leased"/>
    <x v="1"/>
    <n v="1235.79"/>
    <n v="1035.57"/>
    <x v="1"/>
  </r>
  <r>
    <s v="Mettler-Toledo, LLC - MTI"/>
    <s v="MTMO-US"/>
    <s v="7210112"/>
    <s v="Utility-Elect-Leased"/>
    <x v="2"/>
    <n v="94.3"/>
    <n v="79.33"/>
    <x v="1"/>
  </r>
  <r>
    <s v="Mettler-Toledo, LLC - MTI"/>
    <s v="MTMO-US"/>
    <s v="7210113"/>
    <s v="Utility-NatGas-Lease"/>
    <x v="1"/>
    <n v="101.29"/>
    <n v="126.35"/>
    <x v="1"/>
  </r>
  <r>
    <s v="Mettler-Toledo, LLC - MTI"/>
    <s v="MTMO-US"/>
    <s v="7210114"/>
    <s v="Util-WatSewer-Lease"/>
    <x v="1"/>
    <n v="104.74"/>
    <n v="172.52"/>
    <x v="1"/>
  </r>
  <r>
    <s v="Mettler-Toledo, LLC - MTI"/>
    <s v="MTMO-US"/>
    <s v="7210115"/>
    <s v="Utility-Other-Leased"/>
    <x v="1"/>
    <n v="690"/>
    <n v="294.14999999999998"/>
    <x v="1"/>
  </r>
  <r>
    <s v="Mettler-Toledo, LLC - MTI"/>
    <s v="MTMO-US"/>
    <s v="7210116"/>
    <s v="RealEstateTax-Leased"/>
    <x v="1"/>
    <m/>
    <m/>
    <x v="1"/>
  </r>
  <r>
    <s v="Mettler-Toledo, LLC - MTI"/>
    <s v="MTMO-US"/>
    <s v="7210117"/>
    <s v="PropertyInsure-Lease"/>
    <x v="1"/>
    <m/>
    <m/>
    <x v="1"/>
  </r>
  <r>
    <s v="Mettler-Toledo, LLC - MTI"/>
    <s v="MTMO-US"/>
    <s v="7210117"/>
    <s v="PropertyInsure-Lease"/>
    <x v="2"/>
    <m/>
    <m/>
    <x v="1"/>
  </r>
  <r>
    <s v="Mettler-Toledo, LLC - MTI"/>
    <s v="MTMO-US"/>
    <s v="7210118"/>
    <s v="ST LsEx-RealEst-Leas"/>
    <x v="1"/>
    <n v="4443.17"/>
    <n v="5556.77"/>
    <x v="1"/>
  </r>
  <r>
    <s v="Mettler-Toledo, LLC - MTI"/>
    <s v="MTMO-US"/>
    <s v="7210118"/>
    <s v="ST LsEx-RealEst-Leas"/>
    <x v="2"/>
    <n v="1152.08"/>
    <n v="1289.45"/>
    <x v="1"/>
  </r>
  <r>
    <s v="Mettler-Toledo, LLC - MTI"/>
    <s v="MTMO-US"/>
    <s v="7210119"/>
    <s v="LseNotCap-RealEstExp"/>
    <x v="1"/>
    <n v="15251.33"/>
    <n v="11886.71"/>
    <x v="1"/>
  </r>
  <r>
    <s v="Mettler-Toledo, LLC - MTI"/>
    <s v="MTMO-US"/>
    <s v="7210119"/>
    <s v="LseNotCap-RealEstExp"/>
    <x v="2"/>
    <n v="2866.7"/>
    <n v="2898.72"/>
    <x v="1"/>
  </r>
  <r>
    <s v="Mettler-Toledo, LLC - MTI"/>
    <s v="MTMO-US"/>
    <s v="7210119"/>
    <s v="LseNotCap-RealEstExp"/>
    <x v="4"/>
    <m/>
    <n v="90"/>
    <x v="1"/>
  </r>
  <r>
    <s v="Mettler-Toledo, LLC - MTI"/>
    <s v="MTMO-US"/>
    <s v="7210200"/>
    <s v="Maintenance Building"/>
    <x v="1"/>
    <n v="3661.88"/>
    <n v="2540.5700000000002"/>
    <x v="1"/>
  </r>
  <r>
    <s v="Mettler-Toledo, LLC - MTI"/>
    <s v="MTMO-US"/>
    <s v="7210200"/>
    <s v="Maintenance Building"/>
    <x v="2"/>
    <n v="524.84"/>
    <n v="1763.27"/>
    <x v="1"/>
  </r>
  <r>
    <s v="Mettler-Toledo, LLC - MTI"/>
    <s v="MTMO-US"/>
    <s v="7210200"/>
    <s v="Maintenance Building"/>
    <x v="4"/>
    <n v="12024.4"/>
    <n v="9108.3799999999992"/>
    <x v="1"/>
  </r>
  <r>
    <s v="Mettler-Toledo, LLC - MTI"/>
    <s v="MTMO-US"/>
    <s v="7210410"/>
    <s v="Utilities - Electric"/>
    <x v="1"/>
    <n v="1793.86"/>
    <n v="4827.26"/>
    <x v="1"/>
  </r>
  <r>
    <s v="Mettler-Toledo, LLC - MTI"/>
    <s v="MTMO-US"/>
    <s v="7210410"/>
    <s v="Utilities - Electric"/>
    <x v="2"/>
    <n v="172.73"/>
    <n v="755.87"/>
    <x v="1"/>
  </r>
  <r>
    <s v="Mettler-Toledo, LLC - MTI"/>
    <s v="MTMO-US"/>
    <s v="7210420"/>
    <s v="Utilities - Nat. Gas"/>
    <x v="1"/>
    <n v="302.98"/>
    <n v="407.03"/>
    <x v="1"/>
  </r>
  <r>
    <s v="Mettler-Toledo, LLC - MTI"/>
    <s v="MTMO-US"/>
    <s v="7210420"/>
    <s v="Utilities - Nat. Gas"/>
    <x v="2"/>
    <n v="56.78"/>
    <n v="29.14"/>
    <x v="1"/>
  </r>
  <r>
    <s v="Mettler-Toledo, LLC - MTI"/>
    <s v="MTMO-US"/>
    <s v="7210430"/>
    <s v="Utilities Water&amp;Sewr"/>
    <x v="1"/>
    <n v="137.81"/>
    <n v="429.47"/>
    <x v="1"/>
  </r>
  <r>
    <s v="Mettler-Toledo, LLC - MTI"/>
    <s v="MTMO-US"/>
    <s v="7210430"/>
    <s v="Utilities Water&amp;Sewr"/>
    <x v="2"/>
    <m/>
    <m/>
    <x v="1"/>
  </r>
  <r>
    <s v="Mettler-Toledo, LLC - MTI"/>
    <s v="MTMO-US"/>
    <s v="7210490"/>
    <s v="Utilities - Other"/>
    <x v="1"/>
    <n v="4593.09"/>
    <n v="2498.4899999999998"/>
    <x v="1"/>
  </r>
  <r>
    <s v="Mettler-Toledo, LLC - MTI"/>
    <s v="MTMO-US"/>
    <s v="7210490"/>
    <s v="Utilities - Other"/>
    <x v="2"/>
    <n v="153"/>
    <n v="575.9"/>
    <x v="1"/>
  </r>
  <r>
    <s v="Mettler-Toledo, LLC - MTI"/>
    <s v="MTMO-US"/>
    <s v="7210490"/>
    <s v="Utilities - Other"/>
    <x v="4"/>
    <m/>
    <m/>
    <x v="1"/>
  </r>
  <r>
    <s v="Mettler-Toledo, LLC - MTI"/>
    <s v="MTMO-US"/>
    <s v="7210500"/>
    <s v="Real Estate Tax"/>
    <x v="1"/>
    <m/>
    <n v="3838.47"/>
    <x v="1"/>
  </r>
  <r>
    <s v="Mettler-Toledo, LLC - MTI"/>
    <s v="MTMO-US"/>
    <s v="7210500"/>
    <s v="Real Estate Tax"/>
    <x v="2"/>
    <m/>
    <m/>
    <x v="1"/>
  </r>
  <r>
    <s v="Mettler-Toledo, LLC - MTI"/>
    <s v="MTMO-US"/>
    <s v="7210600"/>
    <s v="Property Insurance"/>
    <x v="4"/>
    <n v="6083.33"/>
    <n v="4987.92"/>
    <x v="1"/>
  </r>
  <r>
    <s v="Mettler-Toledo, LLC - MTI"/>
    <s v="MTMO-US"/>
    <s v="7220050"/>
    <s v="Meals/Entertainment"/>
    <x v="0"/>
    <n v="-1016.34"/>
    <n v="-114.04"/>
    <x v="2"/>
  </r>
  <r>
    <s v="Mettler-Toledo, LLC - MTI"/>
    <s v="MTMO-US"/>
    <s v="7220050"/>
    <s v="Meals/Entertainment"/>
    <x v="1"/>
    <n v="94614.85"/>
    <n v="56684.07"/>
    <x v="2"/>
  </r>
  <r>
    <s v="Mettler-Toledo, LLC - MTI"/>
    <s v="MTMO-US"/>
    <s v="7220050"/>
    <s v="Meals/Entertainment"/>
    <x v="2"/>
    <n v="80987.039999999994"/>
    <n v="58739.16"/>
    <x v="2"/>
  </r>
  <r>
    <s v="Mettler-Toledo, LLC - MTI"/>
    <s v="MTMO-US"/>
    <s v="7220050"/>
    <s v="Meals/Entertainment"/>
    <x v="3"/>
    <m/>
    <m/>
    <x v="2"/>
  </r>
  <r>
    <s v="Mettler-Toledo, LLC - MTI"/>
    <s v="MTMO-US"/>
    <s v="7220050"/>
    <s v="Meals/Entertainment"/>
    <x v="4"/>
    <n v="2945.16"/>
    <n v="-43917.16"/>
    <x v="2"/>
  </r>
  <r>
    <s v="Mettler-Toledo, LLC - MTI"/>
    <s v="MTMO-US"/>
    <s v="7220100"/>
    <s v="Hotel Accommodations"/>
    <x v="0"/>
    <n v="-912.71"/>
    <n v="-3886.16"/>
    <x v="2"/>
  </r>
  <r>
    <s v="Mettler-Toledo, LLC - MTI"/>
    <s v="MTMO-US"/>
    <s v="7220100"/>
    <s v="Hotel Accommodations"/>
    <x v="1"/>
    <n v="178575.44"/>
    <n v="140674.9"/>
    <x v="2"/>
  </r>
  <r>
    <s v="Mettler-Toledo, LLC - MTI"/>
    <s v="MTMO-US"/>
    <s v="7220100"/>
    <s v="Hotel Accommodations"/>
    <x v="2"/>
    <n v="106643.26"/>
    <n v="82613.08"/>
    <x v="2"/>
  </r>
  <r>
    <s v="Mettler-Toledo, LLC - MTI"/>
    <s v="MTMO-US"/>
    <s v="7220100"/>
    <s v="Hotel Accommodations"/>
    <x v="3"/>
    <m/>
    <m/>
    <x v="2"/>
  </r>
  <r>
    <s v="Mettler-Toledo, LLC - MTI"/>
    <s v="MTMO-US"/>
    <s v="7220100"/>
    <s v="Hotel Accommodations"/>
    <x v="4"/>
    <n v="8839.43"/>
    <n v="883.42"/>
    <x v="2"/>
  </r>
  <r>
    <s v="Mettler-Toledo, LLC - MTI"/>
    <s v="MTMO-US"/>
    <s v="7220150"/>
    <s v="Airfare"/>
    <x v="0"/>
    <n v="2437.2800000000002"/>
    <n v="-2953.35"/>
    <x v="2"/>
  </r>
  <r>
    <s v="Mettler-Toledo, LLC - MTI"/>
    <s v="MTMO-US"/>
    <s v="7220150"/>
    <s v="Airfare"/>
    <x v="1"/>
    <n v="63335.95"/>
    <n v="45245.279999999999"/>
    <x v="2"/>
  </r>
  <r>
    <s v="Mettler-Toledo, LLC - MTI"/>
    <s v="MTMO-US"/>
    <s v="7220150"/>
    <s v="Airfare"/>
    <x v="2"/>
    <n v="98423.03"/>
    <n v="82656.88"/>
    <x v="2"/>
  </r>
  <r>
    <s v="Mettler-Toledo, LLC - MTI"/>
    <s v="MTMO-US"/>
    <s v="7220150"/>
    <s v="Airfare"/>
    <x v="3"/>
    <m/>
    <m/>
    <x v="2"/>
  </r>
  <r>
    <s v="Mettler-Toledo, LLC - MTI"/>
    <s v="MTMO-US"/>
    <s v="7220150"/>
    <s v="Airfare"/>
    <x v="4"/>
    <n v="4388.09"/>
    <n v="529.91999999999996"/>
    <x v="2"/>
  </r>
  <r>
    <s v="Mettler-Toledo, LLC - MTI"/>
    <s v="MTMO-US"/>
    <s v="7220250"/>
    <s v="Other Transportation"/>
    <x v="0"/>
    <n v="20.27"/>
    <n v="-9.7799999999999994"/>
    <x v="2"/>
  </r>
  <r>
    <s v="Mettler-Toledo, LLC - MTI"/>
    <s v="MTMO-US"/>
    <s v="7220250"/>
    <s v="Other Transportation"/>
    <x v="1"/>
    <n v="11503.21"/>
    <n v="14244.06"/>
    <x v="2"/>
  </r>
  <r>
    <s v="Mettler-Toledo, LLC - MTI"/>
    <s v="MTMO-US"/>
    <s v="7220250"/>
    <s v="Other Transportation"/>
    <x v="2"/>
    <n v="17610.689999999999"/>
    <n v="13058.08"/>
    <x v="2"/>
  </r>
  <r>
    <s v="Mettler-Toledo, LLC - MTI"/>
    <s v="MTMO-US"/>
    <s v="7220250"/>
    <s v="Other Transportation"/>
    <x v="3"/>
    <m/>
    <m/>
    <x v="2"/>
  </r>
  <r>
    <s v="Mettler-Toledo, LLC - MTI"/>
    <s v="MTMO-US"/>
    <s v="7220250"/>
    <s v="Other Transportation"/>
    <x v="4"/>
    <n v="224.42"/>
    <n v="323"/>
    <x v="2"/>
  </r>
  <r>
    <s v="Mettler-Toledo, LLC - MTI"/>
    <s v="MTMO-US"/>
    <s v="7220300"/>
    <s v="Auto Rental"/>
    <x v="0"/>
    <n v="268.45999999999998"/>
    <n v="353.08"/>
    <x v="2"/>
  </r>
  <r>
    <s v="Mettler-Toledo, LLC - MTI"/>
    <s v="MTMO-US"/>
    <s v="7220300"/>
    <s v="Auto Rental"/>
    <x v="1"/>
    <n v="13862.97"/>
    <n v="16251.28"/>
    <x v="2"/>
  </r>
  <r>
    <s v="Mettler-Toledo, LLC - MTI"/>
    <s v="MTMO-US"/>
    <s v="7220300"/>
    <s v="Auto Rental"/>
    <x v="2"/>
    <n v="9265.5300000000007"/>
    <n v="14959.72"/>
    <x v="2"/>
  </r>
  <r>
    <s v="Mettler-Toledo, LLC - MTI"/>
    <s v="MTMO-US"/>
    <s v="7220300"/>
    <s v="Auto Rental"/>
    <x v="4"/>
    <n v="0"/>
    <n v="0"/>
    <x v="2"/>
  </r>
  <r>
    <s v="Mettler-Toledo, LLC - MTI"/>
    <s v="MTMO-US"/>
    <s v="7220350"/>
    <s v="Mileage/Km Reimburse"/>
    <x v="0"/>
    <m/>
    <m/>
    <x v="2"/>
  </r>
  <r>
    <s v="Mettler-Toledo, LLC - MTI"/>
    <s v="MTMO-US"/>
    <s v="7220350"/>
    <s v="Mileage/Km Reimburse"/>
    <x v="1"/>
    <n v="707.7"/>
    <n v="115.24"/>
    <x v="2"/>
  </r>
  <r>
    <s v="Mettler-Toledo, LLC - MTI"/>
    <s v="MTMO-US"/>
    <s v="7220350"/>
    <s v="Mileage/Km Reimburse"/>
    <x v="2"/>
    <n v="1201.2"/>
    <n v="3687.68"/>
    <x v="2"/>
  </r>
  <r>
    <s v="Mettler-Toledo, LLC - MTI"/>
    <s v="MTMO-US"/>
    <s v="7220350"/>
    <s v="Mileage/Km Reimburse"/>
    <x v="4"/>
    <m/>
    <m/>
    <x v="2"/>
  </r>
  <r>
    <s v="Mettler-Toledo, LLC - MTI"/>
    <s v="MTMO-US"/>
    <s v="7220800"/>
    <s v="Meetings Exp"/>
    <x v="0"/>
    <m/>
    <m/>
    <x v="2"/>
  </r>
  <r>
    <s v="Mettler-Toledo, LLC - MTI"/>
    <s v="MTMO-US"/>
    <s v="7220800"/>
    <s v="Meetings Exp"/>
    <x v="1"/>
    <n v="3138.34"/>
    <n v="328.58"/>
    <x v="2"/>
  </r>
  <r>
    <s v="Mettler-Toledo, LLC - MTI"/>
    <s v="MTMO-US"/>
    <s v="7220800"/>
    <s v="Meetings Exp"/>
    <x v="2"/>
    <n v="33063.49"/>
    <n v="21371.8"/>
    <x v="2"/>
  </r>
  <r>
    <s v="Mettler-Toledo, LLC - MTI"/>
    <s v="MTMO-US"/>
    <s v="7220800"/>
    <s v="Meetings Exp"/>
    <x v="4"/>
    <m/>
    <n v="2500"/>
    <x v="2"/>
  </r>
  <r>
    <s v="Mettler-Toledo, LLC - MTI"/>
    <s v="MTMO-US"/>
    <s v="7220900"/>
    <s v="Other Trav. &amp; Enter."/>
    <x v="0"/>
    <n v="-790.47"/>
    <n v="-38.4"/>
    <x v="2"/>
  </r>
  <r>
    <s v="Mettler-Toledo, LLC - MTI"/>
    <s v="MTMO-US"/>
    <s v="7220900"/>
    <s v="Other Trav. &amp; Enter."/>
    <x v="1"/>
    <n v="2036.07"/>
    <n v="1612.11"/>
    <x v="2"/>
  </r>
  <r>
    <s v="Mettler-Toledo, LLC - MTI"/>
    <s v="MTMO-US"/>
    <s v="7220900"/>
    <s v="Other Trav. &amp; Enter."/>
    <x v="2"/>
    <n v="-10894.9"/>
    <n v="-3897.99"/>
    <x v="2"/>
  </r>
  <r>
    <s v="Mettler-Toledo, LLC - MTI"/>
    <s v="MTMO-US"/>
    <s v="7220900"/>
    <s v="Other Trav. &amp; Enter."/>
    <x v="4"/>
    <n v="1327.84"/>
    <n v="33.94"/>
    <x v="2"/>
  </r>
  <r>
    <s v="Mettler-Toledo, LLC - MTI"/>
    <s v="MTMO-US"/>
    <s v="7230050"/>
    <s v="Vehicle Leasing"/>
    <x v="0"/>
    <m/>
    <m/>
    <x v="3"/>
  </r>
  <r>
    <s v="Mettler-Toledo, LLC - MTI"/>
    <s v="MTMO-US"/>
    <s v="7230050"/>
    <s v="Vehicle Leasing"/>
    <x v="1"/>
    <n v="153208.47"/>
    <n v="54605.120000000003"/>
    <x v="3"/>
  </r>
  <r>
    <s v="Mettler-Toledo, LLC - MTI"/>
    <s v="MTMO-US"/>
    <s v="7230050"/>
    <s v="Vehicle Leasing"/>
    <x v="2"/>
    <n v="67628.66"/>
    <n v="27698.75"/>
    <x v="3"/>
  </r>
  <r>
    <s v="Mettler-Toledo, LLC - MTI"/>
    <s v="MTMO-US"/>
    <s v="7230050"/>
    <s v="Vehicle Leasing"/>
    <x v="4"/>
    <n v="64243.81"/>
    <n v="23315.32"/>
    <x v="3"/>
  </r>
  <r>
    <s v="Mettler-Toledo, LLC - MTI"/>
    <s v="MTMO-US"/>
    <s v="7230055"/>
    <s v="VehLeaseExp-Variable"/>
    <x v="0"/>
    <n v="558.37"/>
    <n v="464.97"/>
    <x v="0"/>
  </r>
  <r>
    <s v="Mettler-Toledo, LLC - MTI"/>
    <s v="MTMO-US"/>
    <s v="7230055"/>
    <s v="VehLeaseExp-Variable"/>
    <x v="1"/>
    <n v="283809.99"/>
    <n v="259493.08"/>
    <x v="0"/>
  </r>
  <r>
    <s v="Mettler-Toledo, LLC - MTI"/>
    <s v="MTMO-US"/>
    <s v="7230055"/>
    <s v="VehLeaseExp-Variable"/>
    <x v="2"/>
    <n v="65952.02"/>
    <n v="81391.520000000004"/>
    <x v="0"/>
  </r>
  <r>
    <s v="Mettler-Toledo, LLC - MTI"/>
    <s v="MTMO-US"/>
    <s v="7230055"/>
    <s v="VehLeaseExp-Variable"/>
    <x v="4"/>
    <n v="-13433.13"/>
    <n v="99833.91"/>
    <x v="0"/>
  </r>
  <r>
    <s v="Mettler-Toledo, LLC - MTI"/>
    <s v="MTMO-US"/>
    <s v="7230060"/>
    <s v="Vehicle Rental"/>
    <x v="1"/>
    <n v="18826.03"/>
    <m/>
    <x v="3"/>
  </r>
  <r>
    <s v="Mettler-Toledo, LLC - MTI"/>
    <s v="MTMO-US"/>
    <s v="7230060"/>
    <s v="Vehicle Rental"/>
    <x v="2"/>
    <n v="7097.22"/>
    <m/>
    <x v="3"/>
  </r>
  <r>
    <s v="Mettler-Toledo, LLC - MTI"/>
    <s v="MTMO-US"/>
    <s v="7230060"/>
    <s v="Vehicle Rental"/>
    <x v="4"/>
    <n v="9534.33"/>
    <m/>
    <x v="3"/>
  </r>
  <r>
    <s v="Mettler-Toledo, LLC - MTI"/>
    <s v="MTMO-US"/>
    <s v="7230100"/>
    <s v="Vehicle Fuel"/>
    <x v="0"/>
    <n v="0"/>
    <n v="44.78"/>
    <x v="3"/>
  </r>
  <r>
    <s v="Mettler-Toledo, LLC - MTI"/>
    <s v="MTMO-US"/>
    <s v="7230100"/>
    <s v="Vehicle Fuel"/>
    <x v="1"/>
    <n v="193529.52"/>
    <n v="236041.27"/>
    <x v="3"/>
  </r>
  <r>
    <s v="Mettler-Toledo, LLC - MTI"/>
    <s v="MTMO-US"/>
    <s v="7230100"/>
    <s v="Vehicle Fuel"/>
    <x v="2"/>
    <n v="28334.59"/>
    <n v="32852.6"/>
    <x v="3"/>
  </r>
  <r>
    <s v="Mettler-Toledo, LLC - MTI"/>
    <s v="MTMO-US"/>
    <s v="7230100"/>
    <s v="Vehicle Fuel"/>
    <x v="4"/>
    <n v="58520.82"/>
    <n v="69774.3"/>
    <x v="3"/>
  </r>
  <r>
    <s v="Mettler-Toledo, LLC - MTI"/>
    <s v="MTMO-US"/>
    <s v="7230150"/>
    <s v="Vehicle Insurance"/>
    <x v="0"/>
    <n v="162.88"/>
    <n v="143.86000000000001"/>
    <x v="3"/>
  </r>
  <r>
    <s v="Mettler-Toledo, LLC - MTI"/>
    <s v="MTMO-US"/>
    <s v="7230150"/>
    <s v="Vehicle Insurance"/>
    <x v="1"/>
    <n v="96751.17"/>
    <n v="83010.039999999994"/>
    <x v="3"/>
  </r>
  <r>
    <s v="Mettler-Toledo, LLC - MTI"/>
    <s v="MTMO-US"/>
    <s v="7230150"/>
    <s v="Vehicle Insurance"/>
    <x v="2"/>
    <n v="31110.2"/>
    <n v="26327.02"/>
    <x v="3"/>
  </r>
  <r>
    <s v="Mettler-Toledo, LLC - MTI"/>
    <s v="MTMO-US"/>
    <s v="7230150"/>
    <s v="Vehicle Insurance"/>
    <x v="4"/>
    <m/>
    <n v="143.86000000000001"/>
    <x v="3"/>
  </r>
  <r>
    <s v="Mettler-Toledo, LLC - MTI"/>
    <s v="MTMO-US"/>
    <s v="7230200"/>
    <s v="Vehicle Maint."/>
    <x v="0"/>
    <n v="-39.93"/>
    <n v="-231.33"/>
    <x v="3"/>
  </r>
  <r>
    <s v="Mettler-Toledo, LLC - MTI"/>
    <s v="MTMO-US"/>
    <s v="7230200"/>
    <s v="Vehicle Maint."/>
    <x v="1"/>
    <n v="198532.53"/>
    <n v="231827.39"/>
    <x v="3"/>
  </r>
  <r>
    <s v="Mettler-Toledo, LLC - MTI"/>
    <s v="MTMO-US"/>
    <s v="7230200"/>
    <s v="Vehicle Maint."/>
    <x v="2"/>
    <n v="35559.040000000001"/>
    <n v="5759.44"/>
    <x v="3"/>
  </r>
  <r>
    <s v="Mettler-Toledo, LLC - MTI"/>
    <s v="MTMO-US"/>
    <s v="7230200"/>
    <s v="Vehicle Maint."/>
    <x v="4"/>
    <n v="48908.92"/>
    <n v="37794.82"/>
    <x v="3"/>
  </r>
  <r>
    <s v="Mettler-Toledo, LLC - MTI"/>
    <s v="MTMO-US"/>
    <s v="7230250"/>
    <s v="Vehicle Other"/>
    <x v="0"/>
    <n v="1.5"/>
    <n v="234"/>
    <x v="3"/>
  </r>
  <r>
    <s v="Mettler-Toledo, LLC - MTI"/>
    <s v="MTMO-US"/>
    <s v="7230250"/>
    <s v="Vehicle Other"/>
    <x v="1"/>
    <n v="139527.34"/>
    <n v="59158.2"/>
    <x v="3"/>
  </r>
  <r>
    <s v="Mettler-Toledo, LLC - MTI"/>
    <s v="MTMO-US"/>
    <s v="7230250"/>
    <s v="Vehicle Other"/>
    <x v="2"/>
    <n v="14781.39"/>
    <n v="-39060.160000000003"/>
    <x v="3"/>
  </r>
  <r>
    <s v="Mettler-Toledo, LLC - MTI"/>
    <s v="MTMO-US"/>
    <s v="7230250"/>
    <s v="Vehicle Other"/>
    <x v="4"/>
    <n v="-211173.06"/>
    <n v="-67681.320000000007"/>
    <x v="3"/>
  </r>
  <r>
    <s v="Mettler-Toledo, LLC - MTI"/>
    <s v="MTMO-US"/>
    <s v="7240050"/>
    <s v="Data networking cst"/>
    <x v="1"/>
    <n v="494.34"/>
    <m/>
    <x v="4"/>
  </r>
  <r>
    <s v="Mettler-Toledo, LLC - MTI"/>
    <s v="MTMO-US"/>
    <s v="7240100"/>
    <s v="Telecom Mobile"/>
    <x v="0"/>
    <n v="570.71"/>
    <n v="523.51"/>
    <x v="4"/>
  </r>
  <r>
    <s v="Mettler-Toledo, LLC - MTI"/>
    <s v="MTMO-US"/>
    <s v="7240100"/>
    <s v="Telecom Mobile"/>
    <x v="1"/>
    <n v="32303.53"/>
    <n v="31263.9"/>
    <x v="4"/>
  </r>
  <r>
    <s v="Mettler-Toledo, LLC - MTI"/>
    <s v="MTMO-US"/>
    <s v="7240100"/>
    <s v="Telecom Mobile"/>
    <x v="2"/>
    <n v="18646.169999999998"/>
    <n v="16426.919999999998"/>
    <x v="4"/>
  </r>
  <r>
    <s v="Mettler-Toledo, LLC - MTI"/>
    <s v="MTMO-US"/>
    <s v="7240100"/>
    <s v="Telecom Mobile"/>
    <x v="4"/>
    <n v="1266.51"/>
    <n v="1062.25"/>
    <x v="4"/>
  </r>
  <r>
    <s v="Mettler-Toledo, LLC - MTI"/>
    <s v="MTMO-US"/>
    <s v="7240150"/>
    <s v="Telecom Services"/>
    <x v="0"/>
    <m/>
    <m/>
    <x v="4"/>
  </r>
  <r>
    <s v="Mettler-Toledo, LLC - MTI"/>
    <s v="MTMO-US"/>
    <s v="7240150"/>
    <s v="Telecom Services"/>
    <x v="1"/>
    <n v="3424.73"/>
    <n v="6573.61"/>
    <x v="4"/>
  </r>
  <r>
    <s v="Mettler-Toledo, LLC - MTI"/>
    <s v="MTMO-US"/>
    <s v="7240150"/>
    <s v="Telecom Services"/>
    <x v="2"/>
    <n v="6375.34"/>
    <n v="14715.27"/>
    <x v="4"/>
  </r>
  <r>
    <s v="Mettler-Toledo, LLC - MTI"/>
    <s v="MTMO-US"/>
    <s v="7240150"/>
    <s v="Telecom Services"/>
    <x v="4"/>
    <n v="21533.29"/>
    <n v="13735.27"/>
    <x v="4"/>
  </r>
  <r>
    <s v="Mettler-Toledo, LLC - MTI"/>
    <s v="MTMO-US"/>
    <s v="7240200"/>
    <s v="Telephone Local"/>
    <x v="1"/>
    <n v="961.04"/>
    <m/>
    <x v="4"/>
  </r>
  <r>
    <s v="Mettler-Toledo, LLC - MTI"/>
    <s v="MTMO-US"/>
    <s v="7250050"/>
    <s v="R&amp;D Suppl. &amp; Mat'ls"/>
    <x v="1"/>
    <m/>
    <m/>
    <x v="5"/>
  </r>
  <r>
    <s v="Mettler-Toledo, LLC - MTI"/>
    <s v="MTMO-US"/>
    <s v="7250050"/>
    <s v="R&amp;D Suppl. &amp; Mat'ls"/>
    <x v="2"/>
    <m/>
    <m/>
    <x v="5"/>
  </r>
  <r>
    <s v="Mettler-Toledo, LLC - MTI"/>
    <s v="MTMO-US"/>
    <s v="7260050"/>
    <s v="SW Maint./Subscript."/>
    <x v="0"/>
    <n v="473.03"/>
    <n v="34.22"/>
    <x v="6"/>
  </r>
  <r>
    <s v="Mettler-Toledo, LLC - MTI"/>
    <s v="MTMO-US"/>
    <s v="7260050"/>
    <s v="SW Maint./Subscript."/>
    <x v="1"/>
    <n v="3892.86"/>
    <n v="674.64"/>
    <x v="6"/>
  </r>
  <r>
    <s v="Mettler-Toledo, LLC - MTI"/>
    <s v="MTMO-US"/>
    <s v="7260050"/>
    <s v="SW Maint./Subscript."/>
    <x v="2"/>
    <n v="27652.6"/>
    <n v="5353.19"/>
    <x v="6"/>
  </r>
  <r>
    <s v="Mettler-Toledo, LLC - MTI"/>
    <s v="MTMO-US"/>
    <s v="7260050"/>
    <s v="SW Maint./Subscript."/>
    <x v="4"/>
    <n v="9643.58"/>
    <n v="9286.8700000000008"/>
    <x v="6"/>
  </r>
  <r>
    <s v="Mettler-Toledo, LLC - MTI"/>
    <s v="MTMO-US"/>
    <s v="7260100"/>
    <s v="IT HW Maintenance"/>
    <x v="0"/>
    <n v="0"/>
    <m/>
    <x v="6"/>
  </r>
  <r>
    <s v="Mettler-Toledo, LLC - MTI"/>
    <s v="MTMO-US"/>
    <s v="7260100"/>
    <s v="IT HW Maintenance"/>
    <x v="1"/>
    <n v="-51.13"/>
    <n v="98.57"/>
    <x v="6"/>
  </r>
  <r>
    <s v="Mettler-Toledo, LLC - MTI"/>
    <s v="MTMO-US"/>
    <s v="7260100"/>
    <s v="IT HW Maintenance"/>
    <x v="2"/>
    <n v="204.21"/>
    <m/>
    <x v="6"/>
  </r>
  <r>
    <s v="Mettler-Toledo, LLC - MTI"/>
    <s v="MTMO-US"/>
    <s v="7260100"/>
    <s v="IT HW Maintenance"/>
    <x v="4"/>
    <m/>
    <m/>
    <x v="6"/>
  </r>
  <r>
    <s v="Mettler-Toledo, LLC - MTI"/>
    <s v="MTMO-US"/>
    <s v="7270050"/>
    <s v="Direct Mail"/>
    <x v="1"/>
    <m/>
    <m/>
    <x v="7"/>
  </r>
  <r>
    <s v="Mettler-Toledo, LLC - MTI"/>
    <s v="MTMO-US"/>
    <s v="7270050"/>
    <s v="Direct Mail"/>
    <x v="2"/>
    <m/>
    <m/>
    <x v="7"/>
  </r>
  <r>
    <s v="Mettler-Toledo, LLC - MTI"/>
    <s v="MTMO-US"/>
    <s v="7270050"/>
    <s v="Direct Mail"/>
    <x v="3"/>
    <m/>
    <n v="0"/>
    <x v="7"/>
  </r>
  <r>
    <s v="Mettler-Toledo, LLC - MTI"/>
    <s v="MTMO-US"/>
    <s v="7270100"/>
    <s v="Advertising"/>
    <x v="1"/>
    <n v="251.55"/>
    <n v="7.58"/>
    <x v="7"/>
  </r>
  <r>
    <s v="Mettler-Toledo, LLC - MTI"/>
    <s v="MTMO-US"/>
    <s v="7270100"/>
    <s v="Advertising"/>
    <x v="2"/>
    <n v="5320.31"/>
    <n v="12566.53"/>
    <x v="7"/>
  </r>
  <r>
    <s v="Mettler-Toledo, LLC - MTI"/>
    <s v="MTMO-US"/>
    <s v="7270100"/>
    <s v="Advertising"/>
    <x v="3"/>
    <n v="43750"/>
    <n v="71908.34"/>
    <x v="7"/>
  </r>
  <r>
    <s v="Mettler-Toledo, LLC - MTI"/>
    <s v="MTMO-US"/>
    <s v="7270100"/>
    <s v="Advertising"/>
    <x v="4"/>
    <m/>
    <m/>
    <x v="7"/>
  </r>
  <r>
    <s v="Mettler-Toledo, LLC - MTI"/>
    <s v="MTMO-US"/>
    <s v="7270150"/>
    <s v="Marketing Print"/>
    <x v="1"/>
    <n v="1066.32"/>
    <m/>
    <x v="7"/>
  </r>
  <r>
    <s v="Mettler-Toledo, LLC - MTI"/>
    <s v="MTMO-US"/>
    <s v="7270150"/>
    <s v="Marketing Print"/>
    <x v="2"/>
    <n v="4000.19"/>
    <n v="334.32"/>
    <x v="7"/>
  </r>
  <r>
    <s v="Mettler-Toledo, LLC - MTI"/>
    <s v="MTMO-US"/>
    <s v="7270150"/>
    <s v="Marketing Print"/>
    <x v="3"/>
    <n v="1562.5"/>
    <n v="-2365"/>
    <x v="7"/>
  </r>
  <r>
    <s v="Mettler-Toledo, LLC - MTI"/>
    <s v="MTMO-US"/>
    <s v="7270150"/>
    <s v="Marketing Print"/>
    <x v="4"/>
    <m/>
    <m/>
    <x v="7"/>
  </r>
  <r>
    <s v="Mettler-Toledo, LLC - MTI"/>
    <s v="MTMO-US"/>
    <s v="7270200"/>
    <s v="Publicity"/>
    <x v="2"/>
    <m/>
    <n v="0"/>
    <x v="7"/>
  </r>
  <r>
    <s v="Mettler-Toledo, LLC - MTI"/>
    <s v="MTMO-US"/>
    <s v="7270300"/>
    <s v="Telemarketing"/>
    <x v="2"/>
    <m/>
    <n v="24.59"/>
    <x v="7"/>
  </r>
  <r>
    <s v="Mettler-Toledo, LLC - MTI"/>
    <s v="MTMO-US"/>
    <s v="7270350"/>
    <s v="Electronic Marketing"/>
    <x v="2"/>
    <n v="483.56"/>
    <n v="-154.56"/>
    <x v="7"/>
  </r>
  <r>
    <s v="Mettler-Toledo, LLC - MTI"/>
    <s v="MTMO-US"/>
    <s v="7270350"/>
    <s v="Electronic Marketing"/>
    <x v="3"/>
    <n v="22298.5"/>
    <n v="27387.09"/>
    <x v="7"/>
  </r>
  <r>
    <s v="Mettler-Toledo, LLC - MTI"/>
    <s v="MTMO-US"/>
    <s v="7270400"/>
    <s v="Prom or Rebate Offer"/>
    <x v="2"/>
    <m/>
    <n v="7.35"/>
    <x v="7"/>
  </r>
  <r>
    <s v="Mettler-Toledo, LLC - MTI"/>
    <s v="MTMO-US"/>
    <s v="7270450"/>
    <s v="Trade Shows"/>
    <x v="1"/>
    <m/>
    <m/>
    <x v="7"/>
  </r>
  <r>
    <s v="Mettler-Toledo, LLC - MTI"/>
    <s v="MTMO-US"/>
    <s v="7270450"/>
    <s v="Trade Shows"/>
    <x v="2"/>
    <n v="21012.37"/>
    <n v="43508.83"/>
    <x v="7"/>
  </r>
  <r>
    <s v="Mettler-Toledo, LLC - MTI"/>
    <s v="MTMO-US"/>
    <s v="7270450"/>
    <s v="Trade Shows"/>
    <x v="3"/>
    <n v="71949.34"/>
    <n v="2365"/>
    <x v="7"/>
  </r>
  <r>
    <s v="Mettler-Toledo, LLC - MTI"/>
    <s v="MTMO-US"/>
    <s v="7270500"/>
    <s v="Giveaway Items"/>
    <x v="1"/>
    <n v="978.79"/>
    <m/>
    <x v="7"/>
  </r>
  <r>
    <s v="Mettler-Toledo, LLC - MTI"/>
    <s v="MTMO-US"/>
    <s v="7270500"/>
    <s v="Giveaway Items"/>
    <x v="2"/>
    <n v="1179.3"/>
    <n v="1245.44"/>
    <x v="7"/>
  </r>
  <r>
    <s v="Mettler-Toledo, LLC - MTI"/>
    <s v="MTMO-US"/>
    <s v="7270500"/>
    <s v="Giveaway Items"/>
    <x v="3"/>
    <m/>
    <n v="0"/>
    <x v="7"/>
  </r>
  <r>
    <s v="Mettler-Toledo, LLC - MTI"/>
    <s v="MTMO-US"/>
    <s v="7270500"/>
    <s v="Giveaway Items"/>
    <x v="4"/>
    <m/>
    <m/>
    <x v="7"/>
  </r>
  <r>
    <s v="Mettler-Toledo, LLC - MTI"/>
    <s v="MTMO-US"/>
    <s v="7270550"/>
    <s v="Catalogs"/>
    <x v="1"/>
    <n v="66.17"/>
    <n v="-24.5"/>
    <x v="7"/>
  </r>
  <r>
    <s v="Mettler-Toledo, LLC - MTI"/>
    <s v="MTMO-US"/>
    <s v="7270550"/>
    <s v="Catalogs"/>
    <x v="2"/>
    <n v="-1242.01"/>
    <n v="49.54"/>
    <x v="7"/>
  </r>
  <r>
    <s v="Mettler-Toledo, LLC - MTI"/>
    <s v="MTMO-US"/>
    <s v="7270550"/>
    <s v="Catalogs"/>
    <x v="4"/>
    <m/>
    <m/>
    <x v="7"/>
  </r>
  <r>
    <s v="Mettler-Toledo, LLC - MTI"/>
    <s v="MTMO-US"/>
    <s v="7270800"/>
    <s v="Mktg Translation Exp"/>
    <x v="2"/>
    <m/>
    <n v="0"/>
    <x v="7"/>
  </r>
  <r>
    <s v="Mettler-Toledo, LLC - MTI"/>
    <s v="MTMO-US"/>
    <s v="7270900"/>
    <s v="Other Promo Expense"/>
    <x v="1"/>
    <m/>
    <m/>
    <x v="7"/>
  </r>
  <r>
    <s v="Mettler-Toledo, LLC - MTI"/>
    <s v="MTMO-US"/>
    <s v="7270900"/>
    <s v="Other Promo Expense"/>
    <x v="2"/>
    <n v="183.1"/>
    <n v="-295.27"/>
    <x v="7"/>
  </r>
  <r>
    <s v="Mettler-Toledo, LLC - MTI"/>
    <s v="MTMO-US"/>
    <s v="7270900"/>
    <s v="Other Promo Expense"/>
    <x v="3"/>
    <m/>
    <m/>
    <x v="7"/>
  </r>
  <r>
    <s v="Mettler-Toledo, LLC - MTI"/>
    <s v="MTMO-US"/>
    <s v="7270900"/>
    <s v="Other Promo Expense"/>
    <x v="4"/>
    <n v="-183.1"/>
    <m/>
    <x v="7"/>
  </r>
  <r>
    <s v="Mettler-Toledo, LLC - MTI"/>
    <s v="MTMO-US"/>
    <s v="7280100"/>
    <s v="Ext.Audit &amp; SOX Fees"/>
    <x v="0"/>
    <m/>
    <m/>
    <x v="8"/>
  </r>
  <r>
    <s v="Mettler-Toledo, LLC - MTI"/>
    <s v="MTMO-US"/>
    <s v="7280100"/>
    <s v="Ext.Audit &amp; SOX Fees"/>
    <x v="4"/>
    <n v="22363.58"/>
    <n v="21920.83"/>
    <x v="8"/>
  </r>
  <r>
    <s v="Mettler-Toledo, LLC - MTI"/>
    <s v="MTMO-US"/>
    <s v="7280900"/>
    <s v="Oth. Ext. Audit Fees"/>
    <x v="1"/>
    <m/>
    <m/>
    <x v="8"/>
  </r>
  <r>
    <s v="Mettler-Toledo, LLC - MTI"/>
    <s v="MTMO-US"/>
    <s v="7290050"/>
    <s v="Tax Prof. Fees"/>
    <x v="1"/>
    <m/>
    <m/>
    <x v="9"/>
  </r>
  <r>
    <s v="Mettler-Toledo, LLC - MTI"/>
    <s v="MTMO-US"/>
    <s v="7290050"/>
    <s v="Tax Prof. Fees"/>
    <x v="2"/>
    <m/>
    <m/>
    <x v="9"/>
  </r>
  <r>
    <s v="Mettler-Toledo, LLC - MTI"/>
    <s v="MTMO-US"/>
    <s v="7290100"/>
    <s v="Legal Fees"/>
    <x v="1"/>
    <n v="28298"/>
    <n v="10797"/>
    <x v="9"/>
  </r>
  <r>
    <s v="Mettler-Toledo, LLC - MTI"/>
    <s v="MTMO-US"/>
    <s v="7290100"/>
    <s v="Legal Fees"/>
    <x v="2"/>
    <n v="14826.45"/>
    <n v="11307.77"/>
    <x v="9"/>
  </r>
  <r>
    <s v="Mettler-Toledo, LLC - MTI"/>
    <s v="MTMO-US"/>
    <s v="7290100"/>
    <s v="Legal Fees"/>
    <x v="4"/>
    <n v="7574.5"/>
    <n v="7474.5"/>
    <x v="9"/>
  </r>
  <r>
    <s v="Mettler-Toledo, LLC - MTI"/>
    <s v="MTMO-US"/>
    <s v="7290150"/>
    <s v="IT Professional Fees"/>
    <x v="1"/>
    <n v="839.18"/>
    <m/>
    <x v="9"/>
  </r>
  <r>
    <s v="Mettler-Toledo, LLC - MTI"/>
    <s v="MTMO-US"/>
    <s v="7290150"/>
    <s v="IT Professional Fees"/>
    <x v="2"/>
    <n v="0"/>
    <n v="260.99"/>
    <x v="9"/>
  </r>
  <r>
    <s v="Mettler-Toledo, LLC - MTI"/>
    <s v="MTMO-US"/>
    <s v="7290150"/>
    <s v="IT Professional Fees"/>
    <x v="4"/>
    <m/>
    <m/>
    <x v="9"/>
  </r>
  <r>
    <s v="Mettler-Toledo, LLC - MTI"/>
    <s v="MTMO-US"/>
    <s v="7290250"/>
    <s v="Temporary Employees"/>
    <x v="0"/>
    <m/>
    <m/>
    <x v="9"/>
  </r>
  <r>
    <s v="Mettler-Toledo, LLC - MTI"/>
    <s v="MTMO-US"/>
    <s v="7290250"/>
    <s v="Temporary Employees"/>
    <x v="1"/>
    <n v="3603.91"/>
    <n v="14962.75"/>
    <x v="9"/>
  </r>
  <r>
    <s v="Mettler-Toledo, LLC - MTI"/>
    <s v="MTMO-US"/>
    <s v="7290250"/>
    <s v="Temporary Employees"/>
    <x v="2"/>
    <m/>
    <n v="268.38"/>
    <x v="9"/>
  </r>
  <r>
    <s v="Mettler-Toledo, LLC - MTI"/>
    <s v="MTMO-US"/>
    <s v="7290300"/>
    <s v="SCM/Logist. Consult."/>
    <x v="2"/>
    <m/>
    <m/>
    <x v="9"/>
  </r>
  <r>
    <s v="Mettler-Toledo, LLC - MTI"/>
    <s v="MTMO-US"/>
    <s v="7290400"/>
    <s v="HR &amp; Recruiting Fees"/>
    <x v="0"/>
    <m/>
    <m/>
    <x v="9"/>
  </r>
  <r>
    <s v="Mettler-Toledo, LLC - MTI"/>
    <s v="MTMO-US"/>
    <s v="7290400"/>
    <s v="HR &amp; Recruiting Fees"/>
    <x v="1"/>
    <n v="4587.58"/>
    <n v="1011.37"/>
    <x v="9"/>
  </r>
  <r>
    <s v="Mettler-Toledo, LLC - MTI"/>
    <s v="MTMO-US"/>
    <s v="7290400"/>
    <s v="HR &amp; Recruiting Fees"/>
    <x v="2"/>
    <n v="12280.07"/>
    <n v="74.88"/>
    <x v="9"/>
  </r>
  <r>
    <s v="Mettler-Toledo, LLC - MTI"/>
    <s v="MTMO-US"/>
    <s v="7290400"/>
    <s v="HR &amp; Recruiting Fees"/>
    <x v="4"/>
    <n v="6835.34"/>
    <n v="4319.13"/>
    <x v="9"/>
  </r>
  <r>
    <s v="Mettler-Toledo, LLC - MTI"/>
    <s v="MTMO-US"/>
    <s v="7290900"/>
    <s v="Oth. Cons.&amp;Prof Fees"/>
    <x v="0"/>
    <n v="7285.25"/>
    <n v="3350"/>
    <x v="9"/>
  </r>
  <r>
    <s v="Mettler-Toledo, LLC - MTI"/>
    <s v="MTMO-US"/>
    <s v="7290900"/>
    <s v="Oth. Cons.&amp;Prof Fees"/>
    <x v="1"/>
    <n v="1638.11"/>
    <n v="3360.52"/>
    <x v="9"/>
  </r>
  <r>
    <s v="Mettler-Toledo, LLC - MTI"/>
    <s v="MTMO-US"/>
    <s v="7290900"/>
    <s v="Oth. Cons.&amp;Prof Fees"/>
    <x v="2"/>
    <n v="456.11"/>
    <n v="4955.17"/>
    <x v="9"/>
  </r>
  <r>
    <s v="Mettler-Toledo, LLC - MTI"/>
    <s v="MTMO-US"/>
    <s v="7290900"/>
    <s v="Oth. Cons.&amp;Prof Fees"/>
    <x v="4"/>
    <n v="685.16"/>
    <n v="10762.03"/>
    <x v="9"/>
  </r>
  <r>
    <s v="Mettler-Toledo, LLC - MTI"/>
    <s v="MTMO-US"/>
    <s v="7291100"/>
    <s v="Tooling not capital."/>
    <x v="1"/>
    <n v="34871.54"/>
    <n v="11271.67"/>
    <x v="10"/>
  </r>
  <r>
    <s v="Mettler-Toledo, LLC - MTI"/>
    <s v="MTMO-US"/>
    <s v="7291100"/>
    <s v="Tooling not capital."/>
    <x v="2"/>
    <n v="0"/>
    <n v="6.43"/>
    <x v="10"/>
  </r>
  <r>
    <s v="Mettler-Toledo, LLC - MTI"/>
    <s v="MTMO-US"/>
    <s v="7291100"/>
    <s v="Tooling not capital."/>
    <x v="4"/>
    <m/>
    <m/>
    <x v="10"/>
  </r>
  <r>
    <s v="Mettler-Toledo, LLC - MTI"/>
    <s v="MTMO-US"/>
    <s v="7291200"/>
    <s v="Maint. Mach.&amp;Equip."/>
    <x v="1"/>
    <n v="697.95"/>
    <n v="4803.63"/>
    <x v="10"/>
  </r>
  <r>
    <s v="Mettler-Toledo, LLC - MTI"/>
    <s v="MTMO-US"/>
    <s v="7291200"/>
    <s v="Maint. Mach.&amp;Equip."/>
    <x v="2"/>
    <n v="32.15"/>
    <m/>
    <x v="10"/>
  </r>
  <r>
    <s v="Mettler-Toledo, LLC - MTI"/>
    <s v="MTMO-US"/>
    <s v="7291200"/>
    <s v="Maint. Mach.&amp;Equip."/>
    <x v="4"/>
    <m/>
    <m/>
    <x v="10"/>
  </r>
  <r>
    <s v="Mettler-Toledo, LLC - MTI"/>
    <s v="MTMO-US"/>
    <s v="7291300"/>
    <s v="IT HW not capital."/>
    <x v="0"/>
    <m/>
    <n v="85.99"/>
    <x v="10"/>
  </r>
  <r>
    <s v="Mettler-Toledo, LLC - MTI"/>
    <s v="MTMO-US"/>
    <s v="7291300"/>
    <s v="IT HW not capital."/>
    <x v="1"/>
    <n v="5915.41"/>
    <n v="376.97"/>
    <x v="10"/>
  </r>
  <r>
    <s v="Mettler-Toledo, LLC - MTI"/>
    <s v="MTMO-US"/>
    <s v="7291300"/>
    <s v="IT HW not capital."/>
    <x v="2"/>
    <n v="1923.18"/>
    <n v="-292.17"/>
    <x v="10"/>
  </r>
  <r>
    <s v="Mettler-Toledo, LLC - MTI"/>
    <s v="MTMO-US"/>
    <s v="7291300"/>
    <s v="IT HW not capital."/>
    <x v="4"/>
    <n v="30945.95"/>
    <n v="16860.36"/>
    <x v="10"/>
  </r>
  <r>
    <s v="Mettler-Toledo, LLC - MTI"/>
    <s v="MTMO-US"/>
    <s v="7291350"/>
    <s v="Software not capital"/>
    <x v="0"/>
    <m/>
    <m/>
    <x v="10"/>
  </r>
  <r>
    <s v="Mettler-Toledo, LLC - MTI"/>
    <s v="MTMO-US"/>
    <s v="7291350"/>
    <s v="Software not capital"/>
    <x v="1"/>
    <n v="163.9"/>
    <n v="98.97"/>
    <x v="10"/>
  </r>
  <r>
    <s v="Mettler-Toledo, LLC - MTI"/>
    <s v="MTMO-US"/>
    <s v="7291350"/>
    <s v="Software not capital"/>
    <x v="2"/>
    <n v="2836.71"/>
    <n v="2892.41"/>
    <x v="10"/>
  </r>
  <r>
    <s v="Mettler-Toledo, LLC - MTI"/>
    <s v="MTMO-US"/>
    <s v="7291350"/>
    <s v="Software not capital"/>
    <x v="3"/>
    <n v="192"/>
    <n v="136"/>
    <x v="10"/>
  </r>
  <r>
    <s v="Mettler-Toledo, LLC - MTI"/>
    <s v="MTMO-US"/>
    <s v="7291350"/>
    <s v="Software not capital"/>
    <x v="4"/>
    <n v="6918.57"/>
    <n v="6073.19"/>
    <x v="10"/>
  </r>
  <r>
    <s v="Mettler-Toledo, LLC - MTI"/>
    <s v="MTMO-US"/>
    <s v="7291400"/>
    <s v="Office Equip not cap"/>
    <x v="0"/>
    <m/>
    <n v="21.49"/>
    <x v="10"/>
  </r>
  <r>
    <s v="Mettler-Toledo, LLC - MTI"/>
    <s v="MTMO-US"/>
    <s v="7291400"/>
    <s v="Office Equip not cap"/>
    <x v="1"/>
    <n v="2088.8200000000002"/>
    <n v="-375.77"/>
    <x v="10"/>
  </r>
  <r>
    <s v="Mettler-Toledo, LLC - MTI"/>
    <s v="MTMO-US"/>
    <s v="7291400"/>
    <s v="Office Equip not cap"/>
    <x v="2"/>
    <n v="2094.87"/>
    <n v="6358.98"/>
    <x v="10"/>
  </r>
  <r>
    <s v="Mettler-Toledo, LLC - MTI"/>
    <s v="MTMO-US"/>
    <s v="7291400"/>
    <s v="Office Equip not cap"/>
    <x v="4"/>
    <m/>
    <m/>
    <x v="10"/>
  </r>
  <r>
    <s v="Mettler-Toledo, LLC - MTI"/>
    <s v="MTMO-US"/>
    <s v="7291900"/>
    <s v="Other Capex not Cap."/>
    <x v="1"/>
    <n v="8804.4500000000007"/>
    <n v="-2766.07"/>
    <x v="10"/>
  </r>
  <r>
    <s v="Mettler-Toledo, LLC - MTI"/>
    <s v="MTMO-US"/>
    <s v="7291900"/>
    <s v="Other Capex not Cap."/>
    <x v="2"/>
    <n v="-3734.53"/>
    <n v="-4187.5"/>
    <x v="10"/>
  </r>
  <r>
    <s v="Mettler-Toledo, LLC - MTI"/>
    <s v="MTMO-US"/>
    <s v="7291900"/>
    <s v="Other Capex not Cap."/>
    <x v="4"/>
    <m/>
    <n v="0"/>
    <x v="10"/>
  </r>
  <r>
    <s v="Mettler-Toledo, LLC - MTI"/>
    <s v="MTMO-US"/>
    <s v="7292100"/>
    <s v="IC Alloc In IT In"/>
    <x v="4"/>
    <m/>
    <m/>
    <x v="11"/>
  </r>
  <r>
    <s v="Mettler-Toledo, LLC - MTI"/>
    <s v="MTMO-US"/>
    <s v="7292110"/>
    <s v="IC Alloc In Admin"/>
    <x v="1"/>
    <m/>
    <m/>
    <x v="11"/>
  </r>
  <r>
    <s v="Mettler-Toledo, LLC - MTI"/>
    <s v="MTMO-US"/>
    <s v="7292110"/>
    <s v="IC Alloc In Admin"/>
    <x v="2"/>
    <m/>
    <m/>
    <x v="11"/>
  </r>
  <r>
    <s v="Mettler-Toledo, LLC - MTI"/>
    <s v="MTMO-US"/>
    <s v="7292140"/>
    <s v="IC Alloc In Mkt Sell"/>
    <x v="0"/>
    <n v="16203"/>
    <n v="16203"/>
    <x v="11"/>
  </r>
  <r>
    <s v="Mettler-Toledo, LLC - MTI"/>
    <s v="MTMO-US"/>
    <s v="7292140"/>
    <s v="IC Alloc In Mkt Sell"/>
    <x v="1"/>
    <n v="54392.74"/>
    <n v="15878.63"/>
    <x v="11"/>
  </r>
  <r>
    <s v="Mettler-Toledo, LLC - MTI"/>
    <s v="MTMO-US"/>
    <s v="7292140"/>
    <s v="IC Alloc In Mkt Sell"/>
    <x v="2"/>
    <n v="55649.34"/>
    <n v="35494.400000000001"/>
    <x v="11"/>
  </r>
  <r>
    <s v="Mettler-Toledo, LLC - MTI"/>
    <s v="MTMO-US"/>
    <s v="7292140"/>
    <s v="IC Alloc In Mkt Sell"/>
    <x v="4"/>
    <n v="118015.25"/>
    <n v="114577.91"/>
    <x v="11"/>
  </r>
  <r>
    <s v="Mettler-Toledo, LLC - MTI"/>
    <s v="MTMO-US"/>
    <s v="7292490"/>
    <s v="IC Alloc In Others"/>
    <x v="0"/>
    <n v="4086"/>
    <n v="4086"/>
    <x v="11"/>
  </r>
  <r>
    <s v="Mettler-Toledo, LLC - MTI"/>
    <s v="MTMO-US"/>
    <s v="7292490"/>
    <s v="IC Alloc In Others"/>
    <x v="1"/>
    <n v="41045.71"/>
    <n v="51136.29"/>
    <x v="11"/>
  </r>
  <r>
    <s v="Mettler-Toledo, LLC - MTI"/>
    <s v="MTMO-US"/>
    <s v="7292490"/>
    <s v="IC Alloc In Others"/>
    <x v="2"/>
    <n v="12258"/>
    <n v="20430"/>
    <x v="11"/>
  </r>
  <r>
    <s v="Mettler-Toledo, LLC - MTI"/>
    <s v="MTMO-US"/>
    <s v="7292540"/>
    <s v="IC Alloc Out Admin"/>
    <x v="0"/>
    <n v="-31730.29"/>
    <n v="-25940.42"/>
    <x v="11"/>
  </r>
  <r>
    <s v="Mettler-Toledo, LLC - MTI"/>
    <s v="MTMO-US"/>
    <s v="7292540"/>
    <s v="IC Alloc Out Admin"/>
    <x v="1"/>
    <n v="-8666.65"/>
    <n v="-112247.67999999999"/>
    <x v="11"/>
  </r>
  <r>
    <s v="Mettler-Toledo, LLC - MTI"/>
    <s v="MTMO-US"/>
    <s v="7292540"/>
    <s v="IC Alloc Out Admin"/>
    <x v="2"/>
    <n v="-8557.92"/>
    <n v="-7390.18"/>
    <x v="11"/>
  </r>
  <r>
    <s v="Mettler-Toledo, LLC - MTI"/>
    <s v="MTMO-US"/>
    <s v="7292540"/>
    <s v="IC Alloc Out Admin"/>
    <x v="4"/>
    <n v="-43562.58"/>
    <n v="-29505.86"/>
    <x v="11"/>
  </r>
  <r>
    <s v="Mettler-Toledo, LLC - MTI"/>
    <s v="MTMO-US"/>
    <s v="7292550"/>
    <s v="IC Alloc Out MktSell"/>
    <x v="2"/>
    <n v="-57897.99"/>
    <n v="-62180.34"/>
    <x v="11"/>
  </r>
  <r>
    <s v="Mettler-Toledo, LLC - MTI"/>
    <s v="MTMO-US"/>
    <s v="7292560"/>
    <s v="IC Alloc Out GrpFunc"/>
    <x v="1"/>
    <m/>
    <m/>
    <x v="11"/>
  </r>
  <r>
    <s v="Mettler-Toledo, LLC - MTI"/>
    <s v="MTMO-US"/>
    <s v="7292560"/>
    <s v="IC Alloc Out GrpFunc"/>
    <x v="2"/>
    <n v="0"/>
    <m/>
    <x v="11"/>
  </r>
  <r>
    <s v="Mettler-Toledo, LLC - MTI"/>
    <s v="MTMO-US"/>
    <s v="7292560"/>
    <s v="IC Alloc Out GrpFunc"/>
    <x v="4"/>
    <m/>
    <m/>
    <x v="11"/>
  </r>
  <r>
    <s v="Mettler-Toledo, LLC - MTI"/>
    <s v="MTMO-US"/>
    <s v="7292990"/>
    <s v="IC Alloc Out Others"/>
    <x v="0"/>
    <m/>
    <n v="0"/>
    <x v="11"/>
  </r>
  <r>
    <s v="Mettler-Toledo, LLC - MTI"/>
    <s v="MTMO-US"/>
    <s v="7292990"/>
    <s v="IC Alloc Out Others"/>
    <x v="1"/>
    <n v="7193"/>
    <n v="10959.81"/>
    <x v="11"/>
  </r>
  <r>
    <s v="Mettler-Toledo, LLC - MTI"/>
    <s v="MTMO-US"/>
    <s v="7292990"/>
    <s v="IC Alloc Out Others"/>
    <x v="2"/>
    <n v="8700.6200000000008"/>
    <n v="1171.1400000000001"/>
    <x v="11"/>
  </r>
  <r>
    <s v="Mettler-Toledo, LLC - MTI"/>
    <s v="MTMO-US"/>
    <s v="7292990"/>
    <s v="IC Alloc Out Others"/>
    <x v="4"/>
    <n v="70820.820000000007"/>
    <n v="56011.65"/>
    <x v="11"/>
  </r>
  <r>
    <s v="Mettler-Toledo, LLC - MTI"/>
    <s v="MTMO-US"/>
    <s v="7299010"/>
    <s v="Books &amp; Periodicals"/>
    <x v="0"/>
    <n v="-71.069999999999993"/>
    <n v="-106.19"/>
    <x v="12"/>
  </r>
  <r>
    <s v="Mettler-Toledo, LLC - MTI"/>
    <s v="MTMO-US"/>
    <s v="7299010"/>
    <s v="Books &amp; Periodicals"/>
    <x v="1"/>
    <n v="5875.51"/>
    <n v="1240.1300000000001"/>
    <x v="12"/>
  </r>
  <r>
    <s v="Mettler-Toledo, LLC - MTI"/>
    <s v="MTMO-US"/>
    <s v="7299010"/>
    <s v="Books &amp; Periodicals"/>
    <x v="2"/>
    <n v="3611.52"/>
    <n v="-340.1"/>
    <x v="12"/>
  </r>
  <r>
    <s v="Mettler-Toledo, LLC - MTI"/>
    <s v="MTMO-US"/>
    <s v="7299010"/>
    <s v="Books &amp; Periodicals"/>
    <x v="4"/>
    <n v="142.16999999999999"/>
    <n v="1410.32"/>
    <x v="12"/>
  </r>
  <r>
    <s v="Mettler-Toledo, LLC - MTI"/>
    <s v="MTMO-US"/>
    <s v="7299030"/>
    <s v="Misc Ship/Postage"/>
    <x v="0"/>
    <n v="20"/>
    <m/>
    <x v="12"/>
  </r>
  <r>
    <s v="Mettler-Toledo, LLC - MTI"/>
    <s v="MTMO-US"/>
    <s v="7299030"/>
    <s v="Misc Ship/Postage"/>
    <x v="1"/>
    <n v="1818.97"/>
    <n v="3734.56"/>
    <x v="12"/>
  </r>
  <r>
    <s v="Mettler-Toledo, LLC - MTI"/>
    <s v="MTMO-US"/>
    <s v="7299030"/>
    <s v="Misc Ship/Postage"/>
    <x v="2"/>
    <n v="626.08000000000004"/>
    <n v="543.39"/>
    <x v="12"/>
  </r>
  <r>
    <s v="Mettler-Toledo, LLC - MTI"/>
    <s v="MTMO-US"/>
    <s v="7299030"/>
    <s v="Misc Ship/Postage"/>
    <x v="3"/>
    <m/>
    <m/>
    <x v="12"/>
  </r>
  <r>
    <s v="Mettler-Toledo, LLC - MTI"/>
    <s v="MTMO-US"/>
    <s v="7299030"/>
    <s v="Misc Ship/Postage"/>
    <x v="4"/>
    <n v="1194.6500000000001"/>
    <n v="441.15"/>
    <x v="12"/>
  </r>
  <r>
    <s v="Mettler-Toledo, LLC - MTI"/>
    <s v="MTMO-US"/>
    <s v="7299040"/>
    <s v="Office Supplies"/>
    <x v="0"/>
    <n v="-24.7"/>
    <n v="50.24"/>
    <x v="12"/>
  </r>
  <r>
    <s v="Mettler-Toledo, LLC - MTI"/>
    <s v="MTMO-US"/>
    <s v="7299040"/>
    <s v="Office Supplies"/>
    <x v="1"/>
    <n v="55256.480000000003"/>
    <n v="10767.59"/>
    <x v="12"/>
  </r>
  <r>
    <s v="Mettler-Toledo, LLC - MTI"/>
    <s v="MTMO-US"/>
    <s v="7299040"/>
    <s v="Office Supplies"/>
    <x v="2"/>
    <n v="59111.74"/>
    <n v="9418.1299999999992"/>
    <x v="12"/>
  </r>
  <r>
    <s v="Mettler-Toledo, LLC - MTI"/>
    <s v="MTMO-US"/>
    <s v="7299040"/>
    <s v="Office Supplies"/>
    <x v="4"/>
    <n v="3367.02"/>
    <n v="761.24"/>
    <x v="12"/>
  </r>
  <r>
    <s v="Mettler-Toledo, LLC - MTI"/>
    <s v="MTMO-US"/>
    <s v="7299050"/>
    <s v="Non Office Equipment"/>
    <x v="1"/>
    <n v="360.13"/>
    <n v="1995.68"/>
    <x v="12"/>
  </r>
  <r>
    <s v="Mettler-Toledo, LLC - MTI"/>
    <s v="MTMO-US"/>
    <s v="7299050"/>
    <s v="Non Office Equipment"/>
    <x v="2"/>
    <n v="7.51"/>
    <n v="1063.5899999999999"/>
    <x v="12"/>
  </r>
  <r>
    <s v="Mettler-Toledo, LLC - MTI"/>
    <s v="MTMO-US"/>
    <s v="7299050"/>
    <s v="Non Office Equipment"/>
    <x v="4"/>
    <m/>
    <n v="123.6"/>
    <x v="12"/>
  </r>
  <r>
    <s v="Mettler-Toledo, LLC - MTI"/>
    <s v="MTMO-US"/>
    <s v="7299070"/>
    <s v="Record Retention"/>
    <x v="4"/>
    <n v="3007.6"/>
    <n v="5104.16"/>
    <x v="12"/>
  </r>
  <r>
    <s v="Mettler-Toledo, LLC - MTI"/>
    <s v="MTMO-US"/>
    <s v="7299080"/>
    <s v="Weights&amp;Measures Exp"/>
    <x v="1"/>
    <n v="14720.16"/>
    <n v="10573.32"/>
    <x v="12"/>
  </r>
  <r>
    <s v="Mettler-Toledo, LLC - MTI"/>
    <s v="MTMO-US"/>
    <s v="7299080"/>
    <s v="Weights&amp;Measures Exp"/>
    <x v="2"/>
    <m/>
    <m/>
    <x v="12"/>
  </r>
  <r>
    <s v="Mettler-Toledo, LLC - MTI"/>
    <s v="MTMO-US"/>
    <s v="7299080"/>
    <s v="Weights&amp;Measures Exp"/>
    <x v="4"/>
    <m/>
    <m/>
    <x v="12"/>
  </r>
  <r>
    <s v="Mettler-Toledo, LLC - MTI"/>
    <s v="MTMO-US"/>
    <s v="7299100"/>
    <s v="Product/Liab. Ins."/>
    <x v="4"/>
    <n v="55253.33"/>
    <n v="22483.33"/>
    <x v="12"/>
  </r>
  <r>
    <s v="Mettler-Toledo, LLC - MTI"/>
    <s v="MTMO-US"/>
    <s v="7299210"/>
    <s v="Charitable Donations"/>
    <x v="1"/>
    <n v="148.6"/>
    <n v="132.91999999999999"/>
    <x v="12"/>
  </r>
  <r>
    <s v="Mettler-Toledo, LLC - MTI"/>
    <s v="MTMO-US"/>
    <s v="7299210"/>
    <s v="Charitable Donations"/>
    <x v="2"/>
    <n v="5561.9"/>
    <n v="2743.55"/>
    <x v="12"/>
  </r>
  <r>
    <s v="Mettler-Toledo, LLC - MTI"/>
    <s v="MTMO-US"/>
    <s v="7299210"/>
    <s v="Charitable Donations"/>
    <x v="3"/>
    <m/>
    <m/>
    <x v="12"/>
  </r>
  <r>
    <s v="Mettler-Toledo, LLC - MTI"/>
    <s v="MTMO-US"/>
    <s v="7299210"/>
    <s v="Charitable Donations"/>
    <x v="4"/>
    <m/>
    <m/>
    <x v="12"/>
  </r>
  <r>
    <s v="Mettler-Toledo, LLC - MTI"/>
    <s v="MTMO-US"/>
    <s v="7299230"/>
    <s v="Shop Supplies"/>
    <x v="1"/>
    <n v="14992.17"/>
    <n v="31366.5"/>
    <x v="12"/>
  </r>
  <r>
    <s v="Mettler-Toledo, LLC - MTI"/>
    <s v="MTMO-US"/>
    <s v="7299230"/>
    <s v="Shop Supplies"/>
    <x v="2"/>
    <n v="568.82000000000005"/>
    <n v="1492.04"/>
    <x v="12"/>
  </r>
  <r>
    <s v="Mettler-Toledo, LLC - MTI"/>
    <s v="MTMO-US"/>
    <s v="7299230"/>
    <s v="Shop Supplies"/>
    <x v="4"/>
    <m/>
    <n v="0"/>
    <x v="12"/>
  </r>
  <r>
    <s v="Mettler-Toledo, LLC - MTI"/>
    <s v="MTMO-US"/>
    <s v="7299250"/>
    <s v="Uniforms"/>
    <x v="0"/>
    <m/>
    <m/>
    <x v="12"/>
  </r>
  <r>
    <s v="Mettler-Toledo, LLC - MTI"/>
    <s v="MTMO-US"/>
    <s v="7299250"/>
    <s v="Uniforms"/>
    <x v="1"/>
    <n v="23680.53"/>
    <n v="13469.98"/>
    <x v="12"/>
  </r>
  <r>
    <s v="Mettler-Toledo, LLC - MTI"/>
    <s v="MTMO-US"/>
    <s v="7299250"/>
    <s v="Uniforms"/>
    <x v="2"/>
    <n v="1310.4100000000001"/>
    <n v="952.13"/>
    <x v="12"/>
  </r>
  <r>
    <s v="Mettler-Toledo, LLC - MTI"/>
    <s v="MTMO-US"/>
    <s v="7299250"/>
    <s v="Uniforms"/>
    <x v="4"/>
    <m/>
    <m/>
    <x v="12"/>
  </r>
  <r>
    <s v="Mettler-Toledo, LLC - MTI"/>
    <s v="MTMO-US"/>
    <s v="7299260"/>
    <s v="Membership Fees"/>
    <x v="1"/>
    <n v="10145.44"/>
    <n v="12915.43"/>
    <x v="12"/>
  </r>
  <r>
    <s v="Mettler-Toledo, LLC - MTI"/>
    <s v="MTMO-US"/>
    <s v="7299260"/>
    <s v="Membership Fees"/>
    <x v="2"/>
    <n v="3769.97"/>
    <n v="4891.1499999999996"/>
    <x v="12"/>
  </r>
  <r>
    <s v="Mettler-Toledo, LLC - MTI"/>
    <s v="MTMO-US"/>
    <s v="7299260"/>
    <s v="Membership Fees"/>
    <x v="3"/>
    <n v="241.67"/>
    <m/>
    <x v="12"/>
  </r>
  <r>
    <s v="Mettler-Toledo, LLC - MTI"/>
    <s v="MTMO-US"/>
    <s v="7299260"/>
    <s v="Membership Fees"/>
    <x v="4"/>
    <n v="570"/>
    <n v="2853.34"/>
    <x v="12"/>
  </r>
  <r>
    <s v="Mettler-Toledo, LLC - MTI"/>
    <s v="MTMO-US"/>
    <s v="7299270"/>
    <s v="Rented Equipment"/>
    <x v="1"/>
    <n v="0"/>
    <n v="0"/>
    <x v="12"/>
  </r>
  <r>
    <s v="Mettler-Toledo, LLC - MTI"/>
    <s v="MTMO-US"/>
    <s v="7299273"/>
    <s v="LseNotCap-OthEqExp"/>
    <x v="1"/>
    <n v="0"/>
    <n v="0"/>
    <x v="12"/>
  </r>
  <r>
    <s v="Mettler-Toledo, LLC - MTI"/>
    <s v="MTMO-US"/>
    <s v="7299273"/>
    <s v="LseNotCap-OthEqExp"/>
    <x v="2"/>
    <n v="1347.78"/>
    <n v="1758.55"/>
    <x v="12"/>
  </r>
  <r>
    <s v="Mettler-Toledo, LLC - MTI"/>
    <s v="MTMO-US"/>
    <s v="7299300"/>
    <s v="Invent'y Consump. CC"/>
    <x v="1"/>
    <m/>
    <n v="0"/>
    <x v="12"/>
  </r>
  <r>
    <s v="Mettler-Toledo, LLC - MTI"/>
    <s v="MTMO-US"/>
    <s v="7299300"/>
    <s v="Invent'y Consump. CC"/>
    <x v="2"/>
    <n v="0"/>
    <n v="0"/>
    <x v="12"/>
  </r>
  <r>
    <s v="Mettler-Toledo, LLC - MTI"/>
    <s v="MTMO-US"/>
    <s v="7299400"/>
    <s v="Restocking Inc/Exp"/>
    <x v="2"/>
    <n v="1080"/>
    <n v="1050"/>
    <x v="12"/>
  </r>
  <r>
    <s v="Mettler-Toledo, LLC - MTI"/>
    <s v="MTMO-US"/>
    <s v="7299520"/>
    <s v="Sales and Use Tax"/>
    <x v="1"/>
    <n v="124.05"/>
    <n v="230.94"/>
    <x v="12"/>
  </r>
  <r>
    <s v="Mettler-Toledo, LLC - MTI"/>
    <s v="MTMO-US"/>
    <s v="7299520"/>
    <s v="Sales and Use Tax"/>
    <x v="2"/>
    <n v="-5306.54"/>
    <m/>
    <x v="12"/>
  </r>
  <r>
    <s v="Mettler-Toledo, LLC - MTI"/>
    <s v="MTMO-US"/>
    <s v="7299520"/>
    <s v="Sales and Use Tax"/>
    <x v="4"/>
    <m/>
    <n v="135.03"/>
    <x v="12"/>
  </r>
  <r>
    <s v="Mettler-Toledo, LLC - MTI"/>
    <s v="MTMO-US"/>
    <s v="7299530"/>
    <s v="Other Taxes and Fees"/>
    <x v="1"/>
    <n v="96.41"/>
    <n v="427.07"/>
    <x v="12"/>
  </r>
  <r>
    <s v="Mettler-Toledo, LLC - MTI"/>
    <s v="MTMO-US"/>
    <s v="7299530"/>
    <s v="Other Taxes and Fees"/>
    <x v="2"/>
    <n v="3897.52"/>
    <n v="4536.12"/>
    <x v="12"/>
  </r>
  <r>
    <s v="Mettler-Toledo, LLC - MTI"/>
    <s v="MTMO-US"/>
    <s v="7299530"/>
    <s v="Other Taxes and Fees"/>
    <x v="4"/>
    <n v="7906.96"/>
    <n v="9922.8700000000008"/>
    <x v="12"/>
  </r>
  <r>
    <s v="Mettler-Toledo, LLC - MTI"/>
    <s v="MTMO-US"/>
    <s v="7299800"/>
    <s v="AP Discounts Receivd"/>
    <x v="4"/>
    <n v="-77.069999999999993"/>
    <n v="-441.81"/>
    <x v="12"/>
  </r>
  <r>
    <s v="Mettler-Toledo, LLC - MTI"/>
    <s v="MTMO-US"/>
    <s v="7299900"/>
    <s v="Other Misc Expense"/>
    <x v="0"/>
    <n v="113.73"/>
    <n v="41.32"/>
    <x v="12"/>
  </r>
  <r>
    <s v="Mettler-Toledo, LLC - MTI"/>
    <s v="MTMO-US"/>
    <s v="7299900"/>
    <s v="Other Misc Expense"/>
    <x v="1"/>
    <n v="-27345.08"/>
    <n v="-95702.73"/>
    <x v="12"/>
  </r>
  <r>
    <s v="Mettler-Toledo, LLC - MTI"/>
    <s v="MTMO-US"/>
    <s v="7299900"/>
    <s v="Other Misc Expense"/>
    <x v="2"/>
    <n v="25495.53"/>
    <n v="21276.22"/>
    <x v="12"/>
  </r>
  <r>
    <s v="Mettler-Toledo, LLC - MTI"/>
    <s v="MTMO-US"/>
    <s v="7299900"/>
    <s v="Other Misc Expense"/>
    <x v="3"/>
    <m/>
    <m/>
    <x v="12"/>
  </r>
  <r>
    <s v="Mettler-Toledo, LLC - MTI"/>
    <s v="MTMO-US"/>
    <s v="7299900"/>
    <s v="Other Misc Expense"/>
    <x v="4"/>
    <n v="1471.63"/>
    <n v="-60279.57"/>
    <x v="12"/>
  </r>
  <r>
    <s v="Mettler-Toledo, LLC - MTI"/>
    <s v="MTMO-US"/>
    <s v="7299950"/>
    <s v="Capitalized Costs"/>
    <x v="1"/>
    <m/>
    <m/>
    <x v="12"/>
  </r>
  <r>
    <s v="Mettler-Toledo, LLC - MTI"/>
    <s v="MTMO-US"/>
    <s v="7300050"/>
    <s v="Depr. Building"/>
    <x v="4"/>
    <n v="1517.17"/>
    <n v="1565.95"/>
    <x v="13"/>
  </r>
  <r>
    <s v="Mettler-Toledo, LLC - MTI"/>
    <s v="MTMO-US"/>
    <s v="7300100"/>
    <s v="Depr. Equipm.Trans"/>
    <x v="1"/>
    <n v="39757.26"/>
    <n v="37123.06"/>
    <x v="13"/>
  </r>
  <r>
    <s v="Mettler-Toledo, LLC - MTI"/>
    <s v="MTMO-US"/>
    <s v="7300100"/>
    <s v="Depr. Equipm.Trans"/>
    <x v="2"/>
    <n v="1756.92"/>
    <n v="1991.93"/>
    <x v="13"/>
  </r>
  <r>
    <s v="Mettler-Toledo, LLC - MTI"/>
    <s v="MTMO-US"/>
    <s v="7300110"/>
    <s v="Depr. Equipm. Mach."/>
    <x v="1"/>
    <n v="8607.7999999999993"/>
    <n v="8174.94"/>
    <x v="13"/>
  </r>
  <r>
    <s v="Mettler-Toledo, LLC - MTI"/>
    <s v="MTMO-US"/>
    <s v="7300110"/>
    <s v="Depr. Equipm. Mach."/>
    <x v="2"/>
    <n v="50.79"/>
    <n v="50.79"/>
    <x v="13"/>
  </r>
  <r>
    <s v="Mettler-Toledo, LLC - MTI"/>
    <s v="MTMO-US"/>
    <s v="7300120"/>
    <s v="Depr. Equipm.IT&amp;Tele"/>
    <x v="1"/>
    <m/>
    <n v="176.96"/>
    <x v="13"/>
  </r>
  <r>
    <s v="Mettler-Toledo, LLC - MTI"/>
    <s v="MTMO-US"/>
    <s v="7300120"/>
    <s v="Depr. Equipm.IT&amp;Tele"/>
    <x v="4"/>
    <n v="7336.69"/>
    <n v="15233.7"/>
    <x v="13"/>
  </r>
  <r>
    <s v="Mettler-Toledo, LLC - MTI"/>
    <s v="MTMO-US"/>
    <s v="7300130"/>
    <s v="Depr. Equipm.Other"/>
    <x v="0"/>
    <n v="95.76"/>
    <n v="95.76"/>
    <x v="13"/>
  </r>
  <r>
    <s v="Mettler-Toledo, LLC - MTI"/>
    <s v="MTMO-US"/>
    <s v="7300130"/>
    <s v="Depr. Equipm.Other"/>
    <x v="1"/>
    <n v="5809.54"/>
    <n v="6289.6"/>
    <x v="13"/>
  </r>
  <r>
    <s v="Mettler-Toledo, LLC - MTI"/>
    <s v="MTMO-US"/>
    <s v="7300130"/>
    <s v="Depr. Equipm.Other"/>
    <x v="2"/>
    <n v="539.83000000000004"/>
    <n v="539.83000000000004"/>
    <x v="13"/>
  </r>
  <r>
    <s v="Mettler-Toledo, LLC - MTI"/>
    <s v="MTMO-US"/>
    <s v="7300130"/>
    <s v="Depr. Equipm.Other"/>
    <x v="4"/>
    <n v="7267.11"/>
    <n v="7267.11"/>
    <x v="13"/>
  </r>
  <r>
    <s v="Mettler-Toledo, LLC - MTI"/>
    <s v="MTMO-US"/>
    <s v="7300140"/>
    <s v="Depr. Equipm.Rental"/>
    <x v="1"/>
    <n v="690.75"/>
    <n v="726.22"/>
    <x v="13"/>
  </r>
  <r>
    <s v="Mettler-Toledo, LLC - MTI"/>
    <s v="MTMO-US"/>
    <s v="7300140"/>
    <s v="Depr. Equipm.Rental"/>
    <x v="2"/>
    <n v="1172.46"/>
    <n v="1172.46"/>
    <x v="13"/>
  </r>
  <r>
    <s v="Mettler-Toledo, LLC - MTI"/>
    <s v="MTMO-US"/>
    <s v="7100050"/>
    <s v="Sal. perm. employee"/>
    <x v="0"/>
    <n v="106318.06"/>
    <n v="97188.65"/>
    <x v="14"/>
  </r>
  <r>
    <s v="Mettler-Toledo, LLC - MTI"/>
    <s v="MTMO-US"/>
    <s v="7100050"/>
    <s v="Sal. perm. employee"/>
    <x v="1"/>
    <n v="3556247.37"/>
    <n v="3424988.61"/>
    <x v="14"/>
  </r>
  <r>
    <s v="Mettler-Toledo, LLC - MTI"/>
    <s v="MTMO-US"/>
    <s v="7100050"/>
    <s v="Sal. perm. employee"/>
    <x v="2"/>
    <n v="3264889.3"/>
    <n v="2962706.03"/>
    <x v="14"/>
  </r>
  <r>
    <s v="Mettler-Toledo, LLC - MTI"/>
    <s v="MTMO-US"/>
    <s v="7100050"/>
    <s v="Sal. perm. employee"/>
    <x v="4"/>
    <n v="319436.12"/>
    <n v="319711.24"/>
    <x v="14"/>
  </r>
  <r>
    <s v="Mettler-Toledo, LLC - MTI"/>
    <s v="MTMO-US"/>
    <s v="7100150"/>
    <s v="OT (w/o surcharge)"/>
    <x v="0"/>
    <n v="76.97"/>
    <n v="44.41"/>
    <x v="14"/>
  </r>
  <r>
    <s v="Mettler-Toledo, LLC - MTI"/>
    <s v="MTMO-US"/>
    <s v="7100150"/>
    <s v="OT (w/o surcharge)"/>
    <x v="1"/>
    <n v="449225.15"/>
    <n v="387746.91"/>
    <x v="14"/>
  </r>
  <r>
    <s v="Mettler-Toledo, LLC - MTI"/>
    <s v="MTMO-US"/>
    <s v="7100150"/>
    <s v="OT (w/o surcharge)"/>
    <x v="2"/>
    <n v="9173.36"/>
    <n v="8213.83"/>
    <x v="14"/>
  </r>
  <r>
    <s v="Mettler-Toledo, LLC - MTI"/>
    <s v="MTMO-US"/>
    <s v="7100150"/>
    <s v="OT (w/o surcharge)"/>
    <x v="4"/>
    <n v="1024.8900000000001"/>
    <n v="1611.57"/>
    <x v="14"/>
  </r>
  <r>
    <s v="Mettler-Toledo, LLC - MTI"/>
    <s v="MTMO-US"/>
    <s v="7100900"/>
    <s v="Other Base Comp"/>
    <x v="0"/>
    <n v="325.98"/>
    <n v="325.98"/>
    <x v="14"/>
  </r>
  <r>
    <s v="Mettler-Toledo, LLC - MTI"/>
    <s v="MTMO-US"/>
    <s v="7100900"/>
    <s v="Other Base Comp"/>
    <x v="1"/>
    <n v="2866.97"/>
    <n v="31140"/>
    <x v="14"/>
  </r>
  <r>
    <s v="Mettler-Toledo, LLC - MTI"/>
    <s v="MTMO-US"/>
    <s v="7100900"/>
    <s v="Other Base Comp"/>
    <x v="2"/>
    <n v="3527.54"/>
    <n v="4847.88"/>
    <x v="14"/>
  </r>
  <r>
    <s v="Mettler-Toledo, LLC - MTI"/>
    <s v="MTMO-US"/>
    <s v="7100900"/>
    <s v="Other Base Comp"/>
    <x v="4"/>
    <n v="725"/>
    <n v="725"/>
    <x v="14"/>
  </r>
  <r>
    <s v="Mettler-Toledo, LLC - MTI"/>
    <s v="MTMO-US"/>
    <s v="7110050"/>
    <s v="Absence/Vacation Exp"/>
    <x v="2"/>
    <m/>
    <m/>
    <x v="15"/>
  </r>
  <r>
    <s v="Mettler-Toledo, LLC - MTI"/>
    <s v="MTMO-US"/>
    <s v="7110150"/>
    <s v="Social Security"/>
    <x v="0"/>
    <n v="7826.23"/>
    <n v="7052.67"/>
    <x v="15"/>
  </r>
  <r>
    <s v="Mettler-Toledo, LLC - MTI"/>
    <s v="MTMO-US"/>
    <s v="7110150"/>
    <s v="Social Security"/>
    <x v="1"/>
    <n v="314953.37"/>
    <n v="298948.03000000003"/>
    <x v="15"/>
  </r>
  <r>
    <s v="Mettler-Toledo, LLC - MTI"/>
    <s v="MTMO-US"/>
    <s v="7110150"/>
    <s v="Social Security"/>
    <x v="2"/>
    <n v="282656.38"/>
    <n v="271108.21000000002"/>
    <x v="15"/>
  </r>
  <r>
    <s v="Mettler-Toledo, LLC - MTI"/>
    <s v="MTMO-US"/>
    <s v="7110150"/>
    <s v="Social Security"/>
    <x v="4"/>
    <n v="21750.21"/>
    <n v="21999.93"/>
    <x v="15"/>
  </r>
  <r>
    <s v="Mettler-Toledo, LLC - MTI"/>
    <s v="MTMO-US"/>
    <s v="7110200"/>
    <s v="Pension (401k/PK)"/>
    <x v="0"/>
    <n v="3772.32"/>
    <n v="3564.12"/>
    <x v="15"/>
  </r>
  <r>
    <s v="Mettler-Toledo, LLC - MTI"/>
    <s v="MTMO-US"/>
    <s v="7110200"/>
    <s v="Pension (401k/PK)"/>
    <x v="1"/>
    <n v="213039.16"/>
    <n v="211701.52"/>
    <x v="15"/>
  </r>
  <r>
    <s v="Mettler-Toledo, LLC - MTI"/>
    <s v="MTMO-US"/>
    <s v="7110200"/>
    <s v="Pension (401k/PK)"/>
    <x v="2"/>
    <n v="208764.31"/>
    <n v="203465.76"/>
    <x v="15"/>
  </r>
  <r>
    <s v="Mettler-Toledo, LLC - MTI"/>
    <s v="MTMO-US"/>
    <s v="7110200"/>
    <s v="Pension (401k/PK)"/>
    <x v="4"/>
    <n v="13230.39"/>
    <n v="13366.38"/>
    <x v="15"/>
  </r>
  <r>
    <s v="Mettler-Toledo, LLC - MTI"/>
    <s v="MTMO-US"/>
    <s v="7110300"/>
    <s v="Medical Insurance"/>
    <x v="0"/>
    <n v="12551.86"/>
    <n v="11236.33"/>
    <x v="15"/>
  </r>
  <r>
    <s v="Mettler-Toledo, LLC - MTI"/>
    <s v="MTMO-US"/>
    <s v="7110300"/>
    <s v="Medical Insurance"/>
    <x v="1"/>
    <n v="507537.4"/>
    <n v="478883.51"/>
    <x v="15"/>
  </r>
  <r>
    <s v="Mettler-Toledo, LLC - MTI"/>
    <s v="MTMO-US"/>
    <s v="7110300"/>
    <s v="Medical Insurance"/>
    <x v="2"/>
    <n v="374068.49"/>
    <n v="340363.75"/>
    <x v="15"/>
  </r>
  <r>
    <s v="Mettler-Toledo, LLC - MTI"/>
    <s v="MTMO-US"/>
    <s v="7110300"/>
    <s v="Medical Insurance"/>
    <x v="4"/>
    <n v="38002.68"/>
    <n v="37526.1"/>
    <x v="15"/>
  </r>
  <r>
    <s v="Mettler-Toledo, LLC - MTI"/>
    <s v="MTMO-US"/>
    <s v="7110350"/>
    <s v="Unemployment Premium"/>
    <x v="0"/>
    <m/>
    <m/>
    <x v="15"/>
  </r>
  <r>
    <s v="Mettler-Toledo, LLC - MTI"/>
    <s v="MTMO-US"/>
    <s v="7110350"/>
    <s v="Unemployment Premium"/>
    <x v="1"/>
    <n v="2483.81"/>
    <n v="1794.42"/>
    <x v="15"/>
  </r>
  <r>
    <s v="Mettler-Toledo, LLC - MTI"/>
    <s v="MTMO-US"/>
    <s v="7110350"/>
    <s v="Unemployment Premium"/>
    <x v="2"/>
    <n v="604.04999999999995"/>
    <n v="124.15"/>
    <x v="15"/>
  </r>
  <r>
    <s v="Mettler-Toledo, LLC - MTI"/>
    <s v="MTMO-US"/>
    <s v="7110350"/>
    <s v="Unemployment Premium"/>
    <x v="4"/>
    <n v="39.369999999999997"/>
    <n v="111.69"/>
    <x v="15"/>
  </r>
  <r>
    <s v="Mettler-Toledo, LLC - MTI"/>
    <s v="MTMO-US"/>
    <s v="7110460"/>
    <s v="Worker's Comp"/>
    <x v="0"/>
    <n v="1288.45"/>
    <n v="386.04"/>
    <x v="15"/>
  </r>
  <r>
    <s v="Mettler-Toledo, LLC - MTI"/>
    <s v="MTMO-US"/>
    <s v="7110460"/>
    <s v="Worker's Comp"/>
    <x v="1"/>
    <n v="55091.28"/>
    <n v="17918.689999999999"/>
    <x v="15"/>
  </r>
  <r>
    <s v="Mettler-Toledo, LLC - MTI"/>
    <s v="MTMO-US"/>
    <s v="7110460"/>
    <s v="Worker's Comp"/>
    <x v="2"/>
    <n v="41185.480000000003"/>
    <n v="12234.07"/>
    <x v="15"/>
  </r>
  <r>
    <s v="Mettler-Toledo, LLC - MTI"/>
    <s v="MTMO-US"/>
    <s v="7110460"/>
    <s v="Worker's Comp"/>
    <x v="4"/>
    <n v="4162.7"/>
    <n v="1383.31"/>
    <x v="15"/>
  </r>
  <r>
    <s v="Mettler-Toledo, LLC - MTI"/>
    <s v="MTMO-US"/>
    <s v="7110900"/>
    <s v="Other Social Costs"/>
    <x v="1"/>
    <n v="1302.42"/>
    <n v="1121.51"/>
    <x v="15"/>
  </r>
  <r>
    <s v="Mettler-Toledo, LLC - MTI"/>
    <s v="MTMO-US"/>
    <s v="7110900"/>
    <s v="Other Social Costs"/>
    <x v="2"/>
    <n v="796.81"/>
    <n v="836.5"/>
    <x v="15"/>
  </r>
  <r>
    <s v="Mettler-Toledo, LLC - MTI"/>
    <s v="MTMO-US"/>
    <s v="7110900"/>
    <s v="Other Social Costs"/>
    <x v="4"/>
    <m/>
    <n v="0"/>
    <x v="15"/>
  </r>
  <r>
    <s v="Mettler-Toledo, LLC - MTI"/>
    <s v="MTMO-US"/>
    <s v="7120050"/>
    <s v="Empl. training exp."/>
    <x v="0"/>
    <m/>
    <m/>
    <x v="16"/>
  </r>
  <r>
    <s v="Mettler-Toledo, LLC - MTI"/>
    <s v="MTMO-US"/>
    <s v="7120050"/>
    <s v="Empl. training exp."/>
    <x v="1"/>
    <n v="4193.05"/>
    <n v="3604.45"/>
    <x v="16"/>
  </r>
  <r>
    <s v="Mettler-Toledo, LLC - MTI"/>
    <s v="MTMO-US"/>
    <s v="7120050"/>
    <s v="Empl. training exp."/>
    <x v="2"/>
    <n v="12636.73"/>
    <n v="10040.76"/>
    <x v="16"/>
  </r>
  <r>
    <s v="Mettler-Toledo, LLC - MTI"/>
    <s v="MTMO-US"/>
    <s v="7120050"/>
    <s v="Empl. training exp."/>
    <x v="4"/>
    <n v="1655"/>
    <n v="457.55"/>
    <x v="16"/>
  </r>
  <r>
    <s v="Mettler-Toledo, LLC - MTI"/>
    <s v="MTMO-US"/>
    <s v="7120200"/>
    <s v="Travel/Auto Allow'ce"/>
    <x v="1"/>
    <n v="164.5"/>
    <n v="820.27"/>
    <x v="16"/>
  </r>
  <r>
    <s v="Mettler-Toledo, LLC - MTI"/>
    <s v="MTMO-US"/>
    <s v="7120200"/>
    <s v="Travel/Auto Allow'ce"/>
    <x v="2"/>
    <n v="46.51"/>
    <n v="267.95999999999998"/>
    <x v="16"/>
  </r>
  <r>
    <s v="Mettler-Toledo, LLC - MTI"/>
    <s v="MTMO-US"/>
    <s v="7120250"/>
    <s v="Signing/Prop bonus"/>
    <x v="0"/>
    <m/>
    <m/>
    <x v="16"/>
  </r>
  <r>
    <s v="Mettler-Toledo, LLC - MTI"/>
    <s v="MTMO-US"/>
    <s v="7120250"/>
    <s v="Signing/Prop bonus"/>
    <x v="1"/>
    <n v="3802.76"/>
    <n v="2354.1799999999998"/>
    <x v="16"/>
  </r>
  <r>
    <s v="Mettler-Toledo, LLC - MTI"/>
    <s v="MTMO-US"/>
    <s v="7120250"/>
    <s v="Signing/Prop bonus"/>
    <x v="2"/>
    <n v="2098.84"/>
    <n v="2450"/>
    <x v="16"/>
  </r>
  <r>
    <s v="Mettler-Toledo, LLC - MTI"/>
    <s v="MTMO-US"/>
    <s v="7120250"/>
    <s v="Signing/Prop bonus"/>
    <x v="4"/>
    <m/>
    <m/>
    <x v="16"/>
  </r>
  <r>
    <s v="Mettler-Toledo, LLC - MTI"/>
    <s v="MTMO-US"/>
    <s v="7120350"/>
    <s v="Job advertisement"/>
    <x v="2"/>
    <m/>
    <m/>
    <x v="16"/>
  </r>
  <r>
    <s v="Mettler-Toledo, LLC - MTI"/>
    <s v="MTMO-US"/>
    <s v="7120400"/>
    <s v="Application fees"/>
    <x v="1"/>
    <n v="506.76"/>
    <n v="1419.99"/>
    <x v="16"/>
  </r>
  <r>
    <s v="Mettler-Toledo, LLC - MTI"/>
    <s v="MTMO-US"/>
    <s v="7120400"/>
    <s v="Application fees"/>
    <x v="2"/>
    <n v="0"/>
    <m/>
    <x v="16"/>
  </r>
  <r>
    <s v="Mettler-Toledo, LLC - MTI"/>
    <s v="MTMO-US"/>
    <s v="7120450"/>
    <s v="Severance Pay"/>
    <x v="0"/>
    <m/>
    <m/>
    <x v="16"/>
  </r>
  <r>
    <s v="Mettler-Toledo, LLC - MTI"/>
    <s v="MTMO-US"/>
    <s v="7120450"/>
    <s v="Severance Pay"/>
    <x v="1"/>
    <n v="2473.2399999999998"/>
    <n v="4153.6000000000004"/>
    <x v="16"/>
  </r>
  <r>
    <s v="Mettler-Toledo, LLC - MTI"/>
    <s v="MTMO-US"/>
    <s v="7120450"/>
    <s v="Severance Pay"/>
    <x v="2"/>
    <m/>
    <m/>
    <x v="16"/>
  </r>
  <r>
    <s v="Mettler-Toledo, LLC - MTI"/>
    <s v="MTMO-US"/>
    <s v="7120450"/>
    <s v="Severance Pay"/>
    <x v="4"/>
    <m/>
    <m/>
    <x v="16"/>
  </r>
  <r>
    <s v="Mettler-Toledo, LLC - MTI"/>
    <s v="MTMO-US"/>
    <s v="7120650"/>
    <s v="Employee Relocation"/>
    <x v="1"/>
    <m/>
    <m/>
    <x v="16"/>
  </r>
  <r>
    <s v="Mettler-Toledo, LLC - MTI"/>
    <s v="MTMO-US"/>
    <s v="7120650"/>
    <s v="Employee Relocation"/>
    <x v="2"/>
    <n v="380"/>
    <n v="5416.93"/>
    <x v="16"/>
  </r>
  <r>
    <s v="Mettler-Toledo, LLC - MTI"/>
    <s v="MTMO-US"/>
    <s v="7120650"/>
    <s v="Employee Relocation"/>
    <x v="4"/>
    <n v="6286.09"/>
    <m/>
    <x v="16"/>
  </r>
  <r>
    <s v="Mettler-Toledo, LLC - MTI"/>
    <s v="MTMO-US"/>
    <s v="7120750"/>
    <s v="Tuition Reimbursem't"/>
    <x v="2"/>
    <m/>
    <n v="0"/>
    <x v="16"/>
  </r>
  <r>
    <s v="Mettler-Toledo, LLC - MTI"/>
    <s v="MTMO-US"/>
    <s v="7120750"/>
    <s v="Tuition Reimbursem't"/>
    <x v="4"/>
    <n v="2467.19"/>
    <n v="4820"/>
    <x v="16"/>
  </r>
  <r>
    <s v="Mettler-Toledo, LLC - MTI"/>
    <s v="MTMO-US"/>
    <s v="7120900"/>
    <s v="Other Personnel Exp"/>
    <x v="0"/>
    <n v="6.4"/>
    <m/>
    <x v="16"/>
  </r>
  <r>
    <s v="Mettler-Toledo, LLC - MTI"/>
    <s v="MTMO-US"/>
    <s v="7120900"/>
    <s v="Other Personnel Exp"/>
    <x v="1"/>
    <n v="6570.66"/>
    <n v="11744.65"/>
    <x v="16"/>
  </r>
  <r>
    <s v="Mettler-Toledo, LLC - MTI"/>
    <s v="MTMO-US"/>
    <s v="7120900"/>
    <s v="Other Personnel Exp"/>
    <x v="2"/>
    <n v="29780.9"/>
    <n v="9318.5"/>
    <x v="16"/>
  </r>
  <r>
    <s v="Mettler-Toledo, LLC - MTI"/>
    <s v="MTMO-US"/>
    <s v="7120900"/>
    <s v="Other Personnel Exp"/>
    <x v="4"/>
    <n v="7501.76"/>
    <n v="11701.96"/>
    <x v="16"/>
  </r>
  <r>
    <s v="Mettler-Toledo, LLC - MTI"/>
    <s v="MTMO-US"/>
    <s v="ZZZZZZ2"/>
    <s v="Free of Charge COPA"/>
    <x v="2"/>
    <n v="-5631.54"/>
    <n v="0"/>
    <x v="12"/>
  </r>
  <r>
    <s v="Mettler-Toledo, LLC - MTI"/>
    <s v="MTMO-US"/>
    <s v="ZZZZZZ3"/>
    <s v="Total PEX from COPA"/>
    <x v="0"/>
    <n v="0"/>
    <n v="101408.46"/>
    <x v="12"/>
  </r>
  <r>
    <s v="Mettler-Toledo, LLC - MTI"/>
    <s v="MTMO-US"/>
    <s v="ZZZZZZ3"/>
    <s v="Total PEX from COPA"/>
    <x v="1"/>
    <n v="5568805.5199999996"/>
    <n v="5883161.9800000004"/>
    <x v="12"/>
  </r>
  <r>
    <s v="Mettler-Toledo, LLC - MTI"/>
    <s v="MTMO-US"/>
    <s v="ZZZZZZ3"/>
    <s v="Total PEX from COPA"/>
    <x v="2"/>
    <n v="123953.46"/>
    <n v="5513403.75"/>
    <x v="12"/>
  </r>
  <r>
    <s v="Mettler-Toledo, LLC - MTI"/>
    <s v="MTMO-US"/>
    <s v="ZZZZZZ3"/>
    <s v="Total PEX from COPA"/>
    <x v="3"/>
    <n v="0"/>
    <n v="99431.43"/>
    <x v="12"/>
  </r>
  <r>
    <s v="Mettler-Toledo, LLC - MTI"/>
    <s v="MTMO-US"/>
    <s v="ZZZZZZ3"/>
    <s v="Total PEX from COPA"/>
    <x v="4"/>
    <n v="-84715.79"/>
    <n v="908120.09"/>
    <x v="12"/>
  </r>
  <r>
    <s v="Mettler-Toledo, LLC - MTI"/>
    <s v="MTMO-US"/>
    <s v="ZZZZZZ4"/>
    <s v="Total PEX  Cost Acco"/>
    <x v="0"/>
    <n v="-141242.29999999999"/>
    <n v="-109668.42"/>
    <x v="12"/>
  </r>
  <r>
    <s v="Mettler-Toledo, LLC - MTI"/>
    <s v="MTMO-US"/>
    <s v="ZZZZZZ4"/>
    <s v="Total PEX  Cost Acco"/>
    <x v="1"/>
    <n v="-7457090.5099999998"/>
    <n v="-6446877.6299999999"/>
    <x v="12"/>
  </r>
  <r>
    <s v="Mettler-Toledo, LLC - MTI"/>
    <s v="MTMO-US"/>
    <s v="ZZZZZZ4"/>
    <s v="Total PEX  Cost Acco"/>
    <x v="2"/>
    <n v="-6510878.6500000004"/>
    <n v="-5518131.7599999998"/>
    <x v="12"/>
  </r>
  <r>
    <s v="Mettler-Toledo, LLC - MTI"/>
    <s v="MTMO-US"/>
    <s v="ZZZZZZ4"/>
    <s v="Total PEX  Cost Acco"/>
    <x v="3"/>
    <n v="-139994.01"/>
    <n v="-99431.43"/>
    <x v="12"/>
  </r>
  <r>
    <s v="Mettler-Toledo, LLC - MTI"/>
    <s v="MTMO-US"/>
    <s v="ZZZZZZ4"/>
    <s v="Total PEX  Cost Acco"/>
    <x v="4"/>
    <n v="-778658.57"/>
    <n v="-934755.76"/>
    <x v="12"/>
  </r>
  <r>
    <s v="Mettler-Toledo, LLC - MTI"/>
    <s v="MTMO-US"/>
    <s v="ZZZZZZ5"/>
    <s v="Prov. For Bad Debt"/>
    <x v="4"/>
    <n v="-84486.76"/>
    <n v="52662.45"/>
    <x v="12"/>
  </r>
  <r>
    <s v="Mettler-Toledo, LLC - MTI"/>
    <s v="MTMO-US"/>
    <s v="ZZZZZZ6"/>
    <s v="Losses on Trade AR"/>
    <x v="4"/>
    <n v="-228.98"/>
    <n v="47"/>
    <x v="12"/>
  </r>
  <r>
    <s v="Mettler-Toledo, LLC - MTI"/>
    <s v="MTMO-US"/>
    <s v="ZZZZZZ7"/>
    <s v="Net Loss/Gain on Dis"/>
    <x v="4"/>
    <m/>
    <n v="-19168.36"/>
    <x v="12"/>
  </r>
  <r>
    <s v="Mettler-Toledo, LLC - MTI"/>
    <s v="MTMO-US"/>
    <s v="ZZZZZ11"/>
    <s v="Other Expense"/>
    <x v="4"/>
    <n v="-0.05"/>
    <m/>
    <x v="12"/>
  </r>
  <r>
    <s v="Mettler-Toledo, LLC - MTI"/>
    <s v="MTMO-US"/>
    <s v="TOP_01"/>
    <s v="Total Personnel Expe"/>
    <x v="0"/>
    <n v="143622.87"/>
    <n v="117215.87"/>
    <x v="0"/>
  </r>
  <r>
    <s v="Mettler-Toledo, LLC - MTI"/>
    <s v="MTMO-US"/>
    <s v="TOP_01"/>
    <s v="Total Personnel Expe"/>
    <x v="1"/>
    <n v="5541024.6500000004"/>
    <n v="5095553.6100000003"/>
    <x v="0"/>
  </r>
  <r>
    <s v="Mettler-Toledo, LLC - MTI"/>
    <s v="MTMO-US"/>
    <s v="TOP_01"/>
    <s v="Total Personnel Expe"/>
    <x v="2"/>
    <n v="5478650.0099999998"/>
    <n v="4759629.24"/>
    <x v="0"/>
  </r>
  <r>
    <s v="Mettler-Toledo, LLC - MTI"/>
    <s v="MTMO-US"/>
    <s v="TOP_01"/>
    <s v="Total Personnel Expe"/>
    <x v="4"/>
    <n v="451189.15"/>
    <n v="426158.77"/>
    <x v="0"/>
  </r>
  <r>
    <s v="Mettler-Toledo, LLC - MTI"/>
    <s v="MTMO-US"/>
    <s v="TOP_01_01"/>
    <s v="Base Compensation"/>
    <x v="0"/>
    <n v="106721.01"/>
    <n v="97559.039999999994"/>
    <x v="0"/>
  </r>
  <r>
    <s v="Mettler-Toledo, LLC - MTI"/>
    <s v="MTMO-US"/>
    <s v="TOP_01_01"/>
    <s v="Base Compensation"/>
    <x v="1"/>
    <n v="4008339.49"/>
    <n v="3843875.52"/>
    <x v="0"/>
  </r>
  <r>
    <s v="Mettler-Toledo, LLC - MTI"/>
    <s v="MTMO-US"/>
    <s v="TOP_01_01"/>
    <s v="Base Compensation"/>
    <x v="2"/>
    <n v="3277590.2"/>
    <n v="2975767.74"/>
    <x v="0"/>
  </r>
  <r>
    <s v="Mettler-Toledo, LLC - MTI"/>
    <s v="MTMO-US"/>
    <s v="TOP_01_01"/>
    <s v="Base Compensation"/>
    <x v="4"/>
    <n v="321186.01"/>
    <n v="322047.81"/>
    <x v="0"/>
  </r>
  <r>
    <s v="Mettler-Toledo, LLC - MTI"/>
    <s v="MTMO-US"/>
    <s v="TOP_01_02"/>
    <s v="Social Costs / Benef"/>
    <x v="0"/>
    <n v="25438.86"/>
    <n v="22239.16"/>
    <x v="0"/>
  </r>
  <r>
    <s v="Mettler-Toledo, LLC - MTI"/>
    <s v="MTMO-US"/>
    <s v="TOP_01_02"/>
    <s v="Social Costs / Benef"/>
    <x v="1"/>
    <n v="1094407.44"/>
    <n v="1010367.68"/>
    <x v="0"/>
  </r>
  <r>
    <s v="Mettler-Toledo, LLC - MTI"/>
    <s v="MTMO-US"/>
    <s v="TOP_01_02"/>
    <s v="Social Costs / Benef"/>
    <x v="2"/>
    <n v="908075.52000000002"/>
    <n v="828132.44"/>
    <x v="0"/>
  </r>
  <r>
    <s v="Mettler-Toledo, LLC - MTI"/>
    <s v="MTMO-US"/>
    <s v="TOP_01_02"/>
    <s v="Social Costs / Benef"/>
    <x v="4"/>
    <n v="77185.350000000006"/>
    <n v="74387.41"/>
    <x v="0"/>
  </r>
  <r>
    <s v="Mettler-Toledo, LLC - MTI"/>
    <s v="MTMO-US"/>
    <s v="TOP_01_03"/>
    <s v="Other Personnel Expe"/>
    <x v="0"/>
    <n v="6.4"/>
    <m/>
    <x v="0"/>
  </r>
  <r>
    <s v="Mettler-Toledo, LLC - MTI"/>
    <s v="MTMO-US"/>
    <s v="TOP_01_03"/>
    <s v="Other Personnel Expe"/>
    <x v="1"/>
    <n v="17710.97"/>
    <n v="24097.14"/>
    <x v="0"/>
  </r>
  <r>
    <s v="Mettler-Toledo, LLC - MTI"/>
    <s v="MTMO-US"/>
    <s v="TOP_01_03"/>
    <s v="Other Personnel Expe"/>
    <x v="2"/>
    <n v="44942.98"/>
    <n v="27494.15"/>
    <x v="0"/>
  </r>
  <r>
    <s v="Mettler-Toledo, LLC - MTI"/>
    <s v="MTMO-US"/>
    <s v="TOP_01_03"/>
    <s v="Other Personnel Expe"/>
    <x v="4"/>
    <n v="17910.04"/>
    <n v="16979.509999999998"/>
    <x v="0"/>
  </r>
  <r>
    <s v="Mettler-Toledo, LLC - MTI"/>
    <s v="MTMO-US"/>
    <s v="TOP_01_04"/>
    <s v="Bonus"/>
    <x v="0"/>
    <n v="9066.33"/>
    <n v="-4104.43"/>
    <x v="0"/>
  </r>
  <r>
    <s v="Mettler-Toledo, LLC - MTI"/>
    <s v="MTMO-US"/>
    <s v="TOP_01_04"/>
    <s v="Bonus"/>
    <x v="1"/>
    <n v="189562.61"/>
    <n v="68593.98"/>
    <x v="0"/>
  </r>
  <r>
    <s v="Mettler-Toledo, LLC - MTI"/>
    <s v="MTMO-US"/>
    <s v="TOP_01_04"/>
    <s v="Bonus"/>
    <x v="2"/>
    <n v="77650.14"/>
    <n v="-18234.75"/>
    <x v="0"/>
  </r>
  <r>
    <s v="Mettler-Toledo, LLC - MTI"/>
    <s v="MTMO-US"/>
    <s v="TOP_01_04"/>
    <s v="Bonus"/>
    <x v="4"/>
    <n v="34907.75"/>
    <n v="12744.04"/>
    <x v="0"/>
  </r>
  <r>
    <s v="Mettler-Toledo, LLC - MTI"/>
    <s v="MTMO-US"/>
    <s v="7130050"/>
    <s v="Bonus Expense Local"/>
    <x v="0"/>
    <n v="3031.33"/>
    <n v="1286.57"/>
    <x v="17"/>
  </r>
  <r>
    <s v="Mettler-Toledo, LLC - MTI"/>
    <s v="MTMO-US"/>
    <s v="7130050"/>
    <s v="Bonus Expense Local"/>
    <x v="1"/>
    <n v="173385.61"/>
    <n v="87519.01"/>
    <x v="17"/>
  </r>
  <r>
    <s v="Mettler-Toledo, LLC - MTI"/>
    <s v="MTMO-US"/>
    <s v="7130050"/>
    <s v="Bonus Expense Local"/>
    <x v="2"/>
    <n v="47643.14"/>
    <n v="19260.63"/>
    <x v="17"/>
  </r>
  <r>
    <s v="Mettler-Toledo, LLC - MTI"/>
    <s v="MTMO-US"/>
    <s v="7130050"/>
    <s v="Bonus Expense Local"/>
    <x v="4"/>
    <n v="8566.75"/>
    <n v="4128.04"/>
    <x v="17"/>
  </r>
  <r>
    <s v="Mettler-Toledo, LLC - MTI"/>
    <s v="MTMO-US"/>
    <s v="7130100"/>
    <s v="Bonus Expense POBS"/>
    <x v="0"/>
    <n v="6035"/>
    <n v="-5391"/>
    <x v="17"/>
  </r>
  <r>
    <s v="Mettler-Toledo, LLC - MTI"/>
    <s v="MTMO-US"/>
    <s v="7130100"/>
    <s v="Bonus Expense POBS"/>
    <x v="1"/>
    <n v="16177"/>
    <n v="-18925.03"/>
    <x v="17"/>
  </r>
  <r>
    <s v="Mettler-Toledo, LLC - MTI"/>
    <s v="MTMO-US"/>
    <s v="7130100"/>
    <s v="Bonus Expense POBS"/>
    <x v="2"/>
    <n v="30007"/>
    <n v="-37495.379999999997"/>
    <x v="17"/>
  </r>
  <r>
    <s v="Mettler-Toledo, LLC - MTI"/>
    <s v="MTMO-US"/>
    <s v="7130100"/>
    <s v="Bonus Expense POBS"/>
    <x v="4"/>
    <n v="26341"/>
    <n v="8616"/>
    <x v="17"/>
  </r>
  <r>
    <s v="Mettler-Toledo, LLC - MTI"/>
    <s v="MTMO-US"/>
    <s v="TOP_01_05"/>
    <s v="Commissions / Other"/>
    <x v="0"/>
    <n v="2390.27"/>
    <n v="1522.1"/>
    <x v="0"/>
  </r>
  <r>
    <s v="Mettler-Toledo, LLC - MTI"/>
    <s v="MTMO-US"/>
    <s v="TOP_01_05"/>
    <s v="Commissions / Other"/>
    <x v="1"/>
    <n v="231004.14"/>
    <n v="148619.29"/>
    <x v="0"/>
  </r>
  <r>
    <s v="Mettler-Toledo, LLC - MTI"/>
    <s v="MTMO-US"/>
    <s v="TOP_01_05"/>
    <s v="Commissions / Other"/>
    <x v="2"/>
    <n v="1170391.17"/>
    <n v="946469.66"/>
    <x v="0"/>
  </r>
  <r>
    <s v="Mettler-Toledo, LLC - MTI"/>
    <s v="MTMO-US"/>
    <s v="TOP_01_05"/>
    <s v="Commissions / Other"/>
    <x v="4"/>
    <m/>
    <n v="0"/>
    <x v="0"/>
  </r>
  <r>
    <s v="Mettler-Toledo, LLC - MTI"/>
    <s v="MTMO-US"/>
    <s v="7140050"/>
    <s v="Empl. Sales Comm."/>
    <x v="0"/>
    <n v="2390.27"/>
    <n v="1522.1"/>
    <x v="18"/>
  </r>
  <r>
    <s v="Mettler-Toledo, LLC - MTI"/>
    <s v="MTMO-US"/>
    <s v="7140050"/>
    <s v="Empl. Sales Comm."/>
    <x v="1"/>
    <n v="207053.97"/>
    <n v="148619.29"/>
    <x v="18"/>
  </r>
  <r>
    <s v="Mettler-Toledo, LLC - MTI"/>
    <s v="MTMO-US"/>
    <s v="7140050"/>
    <s v="Empl. Sales Comm."/>
    <x v="2"/>
    <n v="1027291.34"/>
    <n v="749779.65"/>
    <x v="18"/>
  </r>
  <r>
    <s v="Mettler-Toledo, LLC - MTI"/>
    <s v="MTMO-US"/>
    <s v="7140050"/>
    <s v="Empl. Sales Comm."/>
    <x v="4"/>
    <m/>
    <n v="0"/>
    <x v="18"/>
  </r>
  <r>
    <s v="Mettler-Toledo, LLC - MTI"/>
    <s v="MTMO-US"/>
    <s v="7140100"/>
    <s v="Other Spec. Incent."/>
    <x v="1"/>
    <n v="23950.17"/>
    <m/>
    <x v="18"/>
  </r>
  <r>
    <s v="Mettler-Toledo, LLC - MTI"/>
    <s v="MTMO-US"/>
    <s v="7140100"/>
    <s v="Other Spec. Incent."/>
    <x v="2"/>
    <n v="143099.82999999999"/>
    <n v="196690.01"/>
    <x v="18"/>
  </r>
  <r>
    <s v="Mettler-Toledo, LLC - MTI"/>
    <s v="MTMO-US"/>
    <s v="TOP_02"/>
    <s v="Travel and Entertain"/>
    <x v="0"/>
    <n v="6.49"/>
    <n v="-6648.65"/>
    <x v="0"/>
  </r>
  <r>
    <s v="Mettler-Toledo, LLC - MTI"/>
    <s v="MTMO-US"/>
    <s v="TOP_02"/>
    <s v="Travel and Entertain"/>
    <x v="1"/>
    <n v="367774.53"/>
    <n v="275155.52"/>
    <x v="0"/>
  </r>
  <r>
    <s v="Mettler-Toledo, LLC - MTI"/>
    <s v="MTMO-US"/>
    <s v="TOP_02"/>
    <s v="Travel and Entertain"/>
    <x v="2"/>
    <n v="336299.34"/>
    <n v="273188.40999999997"/>
    <x v="0"/>
  </r>
  <r>
    <s v="Mettler-Toledo, LLC - MTI"/>
    <s v="MTMO-US"/>
    <s v="TOP_02"/>
    <s v="Travel and Entertain"/>
    <x v="3"/>
    <m/>
    <m/>
    <x v="0"/>
  </r>
  <r>
    <s v="Mettler-Toledo, LLC - MTI"/>
    <s v="MTMO-US"/>
    <s v="TOP_02"/>
    <s v="Travel and Entertain"/>
    <x v="4"/>
    <n v="17724.939999999999"/>
    <n v="-39646.879999999997"/>
    <x v="0"/>
  </r>
  <r>
    <s v="Mettler-Toledo, LLC - MTI"/>
    <s v="MTMO-US"/>
    <s v="TOP_03"/>
    <s v="Agent Commissions /"/>
    <x v="2"/>
    <n v="129585"/>
    <n v="96293.33"/>
    <x v="0"/>
  </r>
  <r>
    <s v="Mettler-Toledo, LLC - MTI"/>
    <s v="MTMO-US"/>
    <s v="ZZZZZZ1"/>
    <s v="Commissions - COPA"/>
    <x v="2"/>
    <n v="129585"/>
    <n v="96293.33"/>
    <x v="19"/>
  </r>
  <r>
    <s v="Mettler-Toledo, LLC - MTI"/>
    <s v="MTMO-US"/>
    <s v="TOP_04"/>
    <s v="Maintenance and Util"/>
    <x v="0"/>
    <n v="-91.3"/>
    <m/>
    <x v="0"/>
  </r>
  <r>
    <s v="Mettler-Toledo, LLC - MTI"/>
    <s v="MTMO-US"/>
    <s v="TOP_04"/>
    <s v="Maintenance and Util"/>
    <x v="1"/>
    <n v="80505.710000000006"/>
    <n v="60529.34"/>
    <x v="0"/>
  </r>
  <r>
    <s v="Mettler-Toledo, LLC - MTI"/>
    <s v="MTMO-US"/>
    <s v="TOP_04"/>
    <s v="Maintenance and Util"/>
    <x v="2"/>
    <n v="92228.28"/>
    <n v="97959.32"/>
    <x v="0"/>
  </r>
  <r>
    <s v="Mettler-Toledo, LLC - MTI"/>
    <s v="MTMO-US"/>
    <s v="TOP_04"/>
    <s v="Maintenance and Util"/>
    <x v="4"/>
    <n v="96044.45"/>
    <n v="112363.34"/>
    <x v="0"/>
  </r>
  <r>
    <s v="Mettler-Toledo, LLC - MTI"/>
    <s v="MTMO-US"/>
    <s v="TOP_15"/>
    <s v="Telecommunications"/>
    <x v="0"/>
    <n v="570.71"/>
    <n v="523.51"/>
    <x v="0"/>
  </r>
  <r>
    <s v="Mettler-Toledo, LLC - MTI"/>
    <s v="MTMO-US"/>
    <s v="TOP_15"/>
    <s v="Telecommunications"/>
    <x v="1"/>
    <n v="37183.64"/>
    <n v="37837.51"/>
    <x v="0"/>
  </r>
  <r>
    <s v="Mettler-Toledo, LLC - MTI"/>
    <s v="MTMO-US"/>
    <s v="TOP_15"/>
    <s v="Telecommunications"/>
    <x v="2"/>
    <n v="25021.51"/>
    <n v="31142.19"/>
    <x v="0"/>
  </r>
  <r>
    <s v="Mettler-Toledo, LLC - MTI"/>
    <s v="MTMO-US"/>
    <s v="TOP_15"/>
    <s v="Telecommunications"/>
    <x v="4"/>
    <n v="22799.8"/>
    <n v="14797.52"/>
    <x v="0"/>
  </r>
  <r>
    <s v="Mettler-Toledo, LLC - MTI"/>
    <s v="MTMO-US"/>
    <s v="TOP_05"/>
    <s v="Vehicle Costs"/>
    <x v="0"/>
    <n v="682.82"/>
    <n v="656.28"/>
    <x v="0"/>
  </r>
  <r>
    <s v="Mettler-Toledo, LLC - MTI"/>
    <s v="MTMO-US"/>
    <s v="TOP_05"/>
    <s v="Vehicle Costs"/>
    <x v="1"/>
    <n v="1084185.05"/>
    <n v="924135.1"/>
    <x v="0"/>
  </r>
  <r>
    <s v="Mettler-Toledo, LLC - MTI"/>
    <s v="MTMO-US"/>
    <s v="TOP_05"/>
    <s v="Vehicle Costs"/>
    <x v="2"/>
    <n v="250463.12"/>
    <n v="134969.17000000001"/>
    <x v="0"/>
  </r>
  <r>
    <s v="Mettler-Toledo, LLC - MTI"/>
    <s v="MTMO-US"/>
    <s v="TOP_05"/>
    <s v="Vehicle Costs"/>
    <x v="4"/>
    <n v="-43398.31"/>
    <n v="163180.89000000001"/>
    <x v="0"/>
  </r>
  <r>
    <s v="Mettler-Toledo, LLC - MTI"/>
    <s v="MTMO-US"/>
    <s v="TOP_06"/>
    <s v="Promotion and Advert"/>
    <x v="1"/>
    <n v="2362.83"/>
    <n v="-16.920000000000002"/>
    <x v="0"/>
  </r>
  <r>
    <s v="Mettler-Toledo, LLC - MTI"/>
    <s v="MTMO-US"/>
    <s v="TOP_06"/>
    <s v="Promotion and Advert"/>
    <x v="2"/>
    <n v="30936.82"/>
    <n v="57286.77"/>
    <x v="0"/>
  </r>
  <r>
    <s v="Mettler-Toledo, LLC - MTI"/>
    <s v="MTMO-US"/>
    <s v="TOP_06"/>
    <s v="Promotion and Advert"/>
    <x v="3"/>
    <n v="139560.34"/>
    <n v="99295.43"/>
    <x v="0"/>
  </r>
  <r>
    <s v="Mettler-Toledo, LLC - MTI"/>
    <s v="MTMO-US"/>
    <s v="TOP_06"/>
    <s v="Promotion and Advert"/>
    <x v="4"/>
    <n v="-183.1"/>
    <m/>
    <x v="0"/>
  </r>
  <r>
    <s v="Mettler-Toledo, LLC - MTI"/>
    <s v="MTMO-US"/>
    <s v="TOP_07"/>
    <s v="Hardware / Software"/>
    <x v="0"/>
    <n v="473.03"/>
    <n v="34.22"/>
    <x v="0"/>
  </r>
  <r>
    <s v="Mettler-Toledo, LLC - MTI"/>
    <s v="MTMO-US"/>
    <s v="TOP_07"/>
    <s v="Hardware / Software"/>
    <x v="1"/>
    <n v="3841.73"/>
    <n v="773.21"/>
    <x v="0"/>
  </r>
  <r>
    <s v="Mettler-Toledo, LLC - MTI"/>
    <s v="MTMO-US"/>
    <s v="TOP_07"/>
    <s v="Hardware / Software"/>
    <x v="2"/>
    <n v="27856.81"/>
    <n v="5353.19"/>
    <x v="0"/>
  </r>
  <r>
    <s v="Mettler-Toledo, LLC - MTI"/>
    <s v="MTMO-US"/>
    <s v="TOP_07"/>
    <s v="Hardware / Software"/>
    <x v="4"/>
    <n v="9643.58"/>
    <n v="9286.8700000000008"/>
    <x v="0"/>
  </r>
  <r>
    <s v="Mettler-Toledo, LLC - MTI"/>
    <s v="MTMO-US"/>
    <s v="TOP_08"/>
    <s v="R&amp;D Materials &amp; Sub-"/>
    <x v="1"/>
    <m/>
    <m/>
    <x v="0"/>
  </r>
  <r>
    <s v="Mettler-Toledo, LLC - MTI"/>
    <s v="MTMO-US"/>
    <s v="TOP_08"/>
    <s v="R&amp;D Materials &amp; Sub-"/>
    <x v="2"/>
    <m/>
    <m/>
    <x v="0"/>
  </r>
  <r>
    <s v="Mettler-Toledo, LLC - MTI"/>
    <s v="MTMO-US"/>
    <s v="TOP_09"/>
    <s v="Audit &amp; SOX costs"/>
    <x v="0"/>
    <m/>
    <m/>
    <x v="0"/>
  </r>
  <r>
    <s v="Mettler-Toledo, LLC - MTI"/>
    <s v="MTMO-US"/>
    <s v="TOP_09"/>
    <s v="Audit &amp; SOX costs"/>
    <x v="1"/>
    <m/>
    <m/>
    <x v="0"/>
  </r>
  <r>
    <s v="Mettler-Toledo, LLC - MTI"/>
    <s v="MTMO-US"/>
    <s v="TOP_09"/>
    <s v="Audit &amp; SOX costs"/>
    <x v="4"/>
    <n v="22363.58"/>
    <n v="21920.83"/>
    <x v="0"/>
  </r>
  <r>
    <s v="Mettler-Toledo, LLC - MTI"/>
    <s v="MTMO-US"/>
    <s v="TOP_10"/>
    <s v="Consultants &amp; Other"/>
    <x v="0"/>
    <n v="7285.25"/>
    <n v="3350"/>
    <x v="0"/>
  </r>
  <r>
    <s v="Mettler-Toledo, LLC - MTI"/>
    <s v="MTMO-US"/>
    <s v="TOP_10"/>
    <s v="Consultants &amp; Other"/>
    <x v="1"/>
    <n v="38966.78"/>
    <n v="30131.64"/>
    <x v="0"/>
  </r>
  <r>
    <s v="Mettler-Toledo, LLC - MTI"/>
    <s v="MTMO-US"/>
    <s v="TOP_10"/>
    <s v="Consultants &amp; Other"/>
    <x v="2"/>
    <n v="27562.63"/>
    <n v="16867.189999999999"/>
    <x v="0"/>
  </r>
  <r>
    <s v="Mettler-Toledo, LLC - MTI"/>
    <s v="MTMO-US"/>
    <s v="TOP_10"/>
    <s v="Consultants &amp; Other"/>
    <x v="4"/>
    <n v="15095"/>
    <n v="22555.66"/>
    <x v="0"/>
  </r>
  <r>
    <s v="Mettler-Toledo, LLC - MTI"/>
    <s v="MTMO-US"/>
    <s v="TOP_11"/>
    <s v="Depreciation"/>
    <x v="0"/>
    <n v="95.76"/>
    <n v="95.76"/>
    <x v="0"/>
  </r>
  <r>
    <s v="Mettler-Toledo, LLC - MTI"/>
    <s v="MTMO-US"/>
    <s v="TOP_11"/>
    <s v="Depreciation"/>
    <x v="1"/>
    <n v="54865.35"/>
    <n v="52490.78"/>
    <x v="0"/>
  </r>
  <r>
    <s v="Mettler-Toledo, LLC - MTI"/>
    <s v="MTMO-US"/>
    <s v="TOP_11"/>
    <s v="Depreciation"/>
    <x v="2"/>
    <n v="3520"/>
    <n v="3755.01"/>
    <x v="0"/>
  </r>
  <r>
    <s v="Mettler-Toledo, LLC - MTI"/>
    <s v="MTMO-US"/>
    <s v="TOP_11"/>
    <s v="Depreciation"/>
    <x v="4"/>
    <n v="16120.97"/>
    <n v="24066.76"/>
    <x v="0"/>
  </r>
  <r>
    <s v="Mettler-Toledo, LLC - MTI"/>
    <s v="MTMO-US"/>
    <s v="TOP_12"/>
    <s v="Capex not Capitalize"/>
    <x v="0"/>
    <m/>
    <n v="107.48"/>
    <x v="0"/>
  </r>
  <r>
    <s v="Mettler-Toledo, LLC - MTI"/>
    <s v="MTMO-US"/>
    <s v="TOP_12"/>
    <s v="Capex not Capitalize"/>
    <x v="1"/>
    <n v="52542.07"/>
    <n v="13409.4"/>
    <x v="0"/>
  </r>
  <r>
    <s v="Mettler-Toledo, LLC - MTI"/>
    <s v="MTMO-US"/>
    <s v="TOP_12"/>
    <s v="Capex not Capitalize"/>
    <x v="2"/>
    <n v="3152.38"/>
    <n v="4778.1499999999996"/>
    <x v="0"/>
  </r>
  <r>
    <s v="Mettler-Toledo, LLC - MTI"/>
    <s v="MTMO-US"/>
    <s v="TOP_12"/>
    <s v="Capex not Capitalize"/>
    <x v="3"/>
    <n v="192"/>
    <n v="136"/>
    <x v="0"/>
  </r>
  <r>
    <s v="Mettler-Toledo, LLC - MTI"/>
    <s v="MTMO-US"/>
    <s v="TOP_12"/>
    <s v="Capex not Capitalize"/>
    <x v="4"/>
    <n v="37864.519999999997"/>
    <n v="22933.55"/>
    <x v="0"/>
  </r>
  <r>
    <s v="Mettler-Toledo, LLC - MTI"/>
    <s v="MTMO-US"/>
    <s v="TOP_16"/>
    <s v="Total Other Period E"/>
    <x v="0"/>
    <n v="-141204.34"/>
    <n v="-8274.59"/>
    <x v="0"/>
  </r>
  <r>
    <s v="Mettler-Toledo, LLC - MTI"/>
    <s v="MTMO-US"/>
    <s v="TOP_16"/>
    <s v="Total Other Period E"/>
    <x v="1"/>
    <n v="-1788411.62"/>
    <n v="-572564.26"/>
    <x v="0"/>
  </r>
  <r>
    <s v="Mettler-Toledo, LLC - MTI"/>
    <s v="MTMO-US"/>
    <s v="TOP_16"/>
    <s v="Total Other Period E"/>
    <x v="2"/>
    <n v="-6291474.4900000002"/>
    <n v="44656.76"/>
    <x v="0"/>
  </r>
  <r>
    <s v="Mettler-Toledo, LLC - MTI"/>
    <s v="MTMO-US"/>
    <s v="TOP_16"/>
    <s v="Total Other Period E"/>
    <x v="3"/>
    <n v="-139752.34"/>
    <n v="0"/>
    <x v="0"/>
  </r>
  <r>
    <s v="Mettler-Toledo, LLC - MTI"/>
    <s v="MTMO-US"/>
    <s v="TOP_16"/>
    <s v="Total Other Period E"/>
    <x v="4"/>
    <n v="-875253.86"/>
    <n v="-10580.92"/>
    <x v="0"/>
  </r>
  <r>
    <s v="Mettler-Toledo, LLC - MTI"/>
    <s v="MTMO-US"/>
    <s v="TOP_16_01"/>
    <s v="Other Period Expense"/>
    <x v="0"/>
    <n v="37.96"/>
    <n v="-14.63"/>
    <x v="0"/>
  </r>
  <r>
    <s v="Mettler-Toledo, LLC - MTI"/>
    <s v="MTMO-US"/>
    <s v="TOP_16_01"/>
    <s v="Other Period Expense"/>
    <x v="1"/>
    <n v="99873.37"/>
    <n v="-8848.61"/>
    <x v="0"/>
  </r>
  <r>
    <s v="Mettler-Toledo, LLC - MTI"/>
    <s v="MTMO-US"/>
    <s v="TOP_16_01"/>
    <s v="Other Period Expense"/>
    <x v="2"/>
    <n v="95450.7"/>
    <n v="49384.77"/>
    <x v="0"/>
  </r>
  <r>
    <s v="Mettler-Toledo, LLC - MTI"/>
    <s v="MTMO-US"/>
    <s v="TOP_16_01"/>
    <s v="Other Period Expense"/>
    <x v="3"/>
    <n v="241.67"/>
    <m/>
    <x v="0"/>
  </r>
  <r>
    <s v="Mettler-Toledo, LLC - MTI"/>
    <s v="MTMO-US"/>
    <s v="TOP_16_01"/>
    <s v="Other Period Expense"/>
    <x v="4"/>
    <n v="-11879.5"/>
    <n v="16054.75"/>
    <x v="0"/>
  </r>
  <r>
    <s v="Mettler-Toledo, LLC - MTI"/>
    <s v="MTMO-US"/>
    <s v="TOP_16_02"/>
    <s v="Other Period Expense"/>
    <x v="0"/>
    <n v="-141242.29999999999"/>
    <n v="-8259.9599999999991"/>
    <x v="0"/>
  </r>
  <r>
    <s v="Mettler-Toledo, LLC - MTI"/>
    <s v="MTMO-US"/>
    <s v="TOP_16_02"/>
    <s v="Other Period Expense"/>
    <x v="1"/>
    <n v="-1888284.99"/>
    <n v="-563715.65"/>
    <x v="0"/>
  </r>
  <r>
    <s v="Mettler-Toledo, LLC - MTI"/>
    <s v="MTMO-US"/>
    <s v="TOP_16_02"/>
    <s v="Other Period Expense"/>
    <x v="2"/>
    <n v="-6386925.1900000004"/>
    <n v="-4728.01"/>
    <x v="0"/>
  </r>
  <r>
    <s v="Mettler-Toledo, LLC - MTI"/>
    <s v="MTMO-US"/>
    <s v="TOP_16_02"/>
    <s v="Other Period Expense"/>
    <x v="3"/>
    <n v="-139994.01"/>
    <n v="0"/>
    <x v="0"/>
  </r>
  <r>
    <s v="Mettler-Toledo, LLC - MTI"/>
    <s v="MTMO-US"/>
    <s v="TOP_16_02"/>
    <s v="Other Period Expense"/>
    <x v="4"/>
    <n v="-863374.36"/>
    <n v="-26635.67"/>
    <x v="0"/>
  </r>
  <r>
    <s v="Mettler-Toledo, LLC - MTI"/>
    <s v="MTMO-US"/>
    <s v="TOP_14"/>
    <s v="Intercompany Charges"/>
    <x v="0"/>
    <n v="-11441.29"/>
    <n v="-5651.42"/>
    <x v="0"/>
  </r>
  <r>
    <s v="Mettler-Toledo, LLC - MTI"/>
    <s v="MTMO-US"/>
    <s v="TOP_14"/>
    <s v="Intercompany Charges"/>
    <x v="1"/>
    <n v="93964.800000000003"/>
    <n v="-34272.949999999997"/>
    <x v="0"/>
  </r>
  <r>
    <s v="Mettler-Toledo, LLC - MTI"/>
    <s v="MTMO-US"/>
    <s v="TOP_14"/>
    <s v="Intercompany Charges"/>
    <x v="2"/>
    <n v="10152.049999999999"/>
    <n v="-12474.98"/>
    <x v="0"/>
  </r>
  <r>
    <s v="Mettler-Toledo, LLC - MTI"/>
    <s v="MTMO-US"/>
    <s v="TOP_14"/>
    <s v="Intercompany Charges"/>
    <x v="4"/>
    <n v="145273.49"/>
    <n v="141083.70000000001"/>
    <x v="0"/>
  </r>
  <r>
    <s v="Mettler-Toledo, LLC - MTI"/>
    <s v="MTMO-US"/>
    <s v="Not Assigned Cost Element (s)"/>
    <s v=""/>
    <x v="5"/>
    <n v="0"/>
    <n v="-12733.13"/>
    <x v="0"/>
  </r>
  <r>
    <s v="Mettler-Toledo, LLC - MTI"/>
    <s v="MTMO-US"/>
    <s v="Not Assigned Cost Element (s)"/>
    <s v=""/>
    <x v="0"/>
    <n v="0"/>
    <n v="-109668.42"/>
    <x v="0"/>
  </r>
  <r>
    <s v="Mettler-Toledo, LLC - MTI"/>
    <s v="MTMO-US"/>
    <s v="Not Assigned Cost Element (s)"/>
    <s v=""/>
    <x v="1"/>
    <n v="-6005931.2999999998"/>
    <n v="-6188612.8499999996"/>
    <x v="0"/>
  </r>
  <r>
    <s v="Mettler-Toledo, LLC - MTI"/>
    <s v="MTMO-US"/>
    <s v="Not Assigned Cost Element (s)"/>
    <s v=""/>
    <x v="2"/>
    <n v="-50112.72"/>
    <n v="-5421838.4299999997"/>
    <x v="0"/>
  </r>
  <r>
    <s v="Mettler-Toledo, LLC - MTI"/>
    <s v="MTMO-US"/>
    <s v="Not Assigned Cost Element (s)"/>
    <s v=""/>
    <x v="3"/>
    <m/>
    <n v="-99431.43"/>
    <x v="0"/>
  </r>
  <r>
    <s v="Mettler-Toledo, LLC - MTI"/>
    <s v="MTMO-US"/>
    <s v="Not Assigned Cost Element (s)"/>
    <s v=""/>
    <x v="4"/>
    <n v="-31844.23"/>
    <n v="-901214.67"/>
    <x v="0"/>
  </r>
  <r>
    <m/>
    <m/>
    <m/>
    <m/>
    <x v="6"/>
    <m/>
    <m/>
    <x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0">
  <r>
    <s v="Mettler-Toledo, LLC - MTI"/>
    <s v="MTMO-US"/>
    <s v="TOP"/>
    <s v="Total Period Expense"/>
    <s v="Logistics&amp;Purch. Costs"/>
    <n v="141242.29999999999"/>
    <n v="101408.46"/>
    <x v="0"/>
  </r>
  <r>
    <s v="Mettler-Toledo, LLC - MTI"/>
    <s v="MTMO-US"/>
    <s v="TOP"/>
    <s v="Total Period Expense"/>
    <s v="Service"/>
    <n v="6853813.3200000003"/>
    <n v="5883161.9800000004"/>
    <x v="0"/>
  </r>
  <r>
    <s v="Mettler-Toledo, LLC - MTI"/>
    <s v="MTMO-US"/>
    <s v="TOP"/>
    <s v="Total Period Expense"/>
    <s v="Marketing"/>
    <n v="6537197.4100000001"/>
    <n v="5513403.75"/>
    <x v="0"/>
  </r>
  <r>
    <s v="Mettler-Toledo, LLC - MTI"/>
    <s v="MTMO-US"/>
    <s v="TOP"/>
    <s v="Total Period Expense"/>
    <s v="Promotion"/>
    <n v="139994.01"/>
    <n v="99431.43"/>
    <x v="0"/>
  </r>
  <r>
    <s v="Mettler-Toledo, LLC - MTI"/>
    <s v="MTMO-US"/>
    <s v="TOP"/>
    <s v="Total Period Expense"/>
    <s v="General &amp; Admin"/>
    <n v="792457.79"/>
    <n v="908120.09"/>
    <x v="0"/>
  </r>
  <r>
    <s v="Mettler-Toledo, LLC - MTI"/>
    <s v="MTMO-US"/>
    <s v="TOP_00"/>
    <s v="Total PEX ex-Bonus/C"/>
    <s v="Logistics&amp;Purch. Costs"/>
    <n v="129785.7"/>
    <n v="103990.79"/>
    <x v="0"/>
  </r>
  <r>
    <s v="Mettler-Toledo, LLC - MTI"/>
    <s v="MTMO-US"/>
    <s v="TOP_00"/>
    <s v="Total PEX ex-Bonus/C"/>
    <s v="Service"/>
    <n v="6420246.6100000003"/>
    <n v="5665948.71"/>
    <x v="0"/>
  </r>
  <r>
    <s v="Mettler-Toledo, LLC - MTI"/>
    <s v="MTMO-US"/>
    <s v="TOP_00"/>
    <s v="Total PEX ex-Bonus/C"/>
    <s v="Marketing"/>
    <n v="5159571.0999999996"/>
    <n v="4488875.51"/>
    <x v="0"/>
  </r>
  <r>
    <s v="Mettler-Toledo, LLC - MTI"/>
    <s v="MTMO-US"/>
    <s v="TOP_00"/>
    <s v="Total PEX ex-Bonus/C"/>
    <s v="Promotion"/>
    <n v="139994.01"/>
    <n v="99431.43"/>
    <x v="0"/>
  </r>
  <r>
    <s v="Mettler-Toledo, LLC - MTI"/>
    <s v="MTMO-US"/>
    <s v="TOP_00"/>
    <s v="Total PEX ex-Bonus/C"/>
    <s v="General &amp; Admin"/>
    <n v="757550.04"/>
    <n v="895376.05"/>
    <x v="0"/>
  </r>
  <r>
    <s v="Mettler-Toledo, LLC - MTI"/>
    <s v="MTMO-US"/>
    <s v="7210100"/>
    <s v="Building Rent"/>
    <s v="Logistics&amp;Purch. Costs"/>
    <n v="2780.41"/>
    <m/>
    <x v="1"/>
  </r>
  <r>
    <s v="Mettler-Toledo, LLC - MTI"/>
    <s v="MTMO-US"/>
    <s v="7210100"/>
    <s v="Building Rent"/>
    <s v="Service"/>
    <n v="50616.63"/>
    <n v="23867.78"/>
    <x v="1"/>
  </r>
  <r>
    <s v="Mettler-Toledo, LLC - MTI"/>
    <s v="MTMO-US"/>
    <s v="7210100"/>
    <s v="Building Rent"/>
    <s v="Marketing"/>
    <n v="85371.63"/>
    <n v="90234.69"/>
    <x v="1"/>
  </r>
  <r>
    <s v="Mettler-Toledo, LLC - MTI"/>
    <s v="MTMO-US"/>
    <s v="7210100"/>
    <s v="Building Rent"/>
    <s v="General &amp; Admin"/>
    <n v="-4966.96"/>
    <m/>
    <x v="1"/>
  </r>
  <r>
    <s v="Mettler-Toledo, LLC - MTI"/>
    <s v="MTMO-US"/>
    <s v="7210110"/>
    <s v="Mov. Assets Rent"/>
    <s v="General &amp; Admin"/>
    <n v="4966.96"/>
    <m/>
    <x v="1"/>
  </r>
  <r>
    <s v="Mettler-Toledo, LLC - MTI"/>
    <s v="MTMO-US"/>
    <s v="7210111"/>
    <s v="MaintBuilding-Leased"/>
    <s v="Logistics&amp;Purch. Costs"/>
    <n v="-2871.71"/>
    <m/>
    <x v="1"/>
  </r>
  <r>
    <s v="Mettler-Toledo, LLC - MTI"/>
    <s v="MTMO-US"/>
    <s v="7210111"/>
    <s v="MaintBuilding-Leased"/>
    <s v="Service"/>
    <n v="-2426.86"/>
    <n v="3048.2"/>
    <x v="1"/>
  </r>
  <r>
    <s v="Mettler-Toledo, LLC - MTI"/>
    <s v="MTMO-US"/>
    <s v="7210111"/>
    <s v="MaintBuilding-Leased"/>
    <s v="Marketing"/>
    <n v="1836.22"/>
    <n v="332.95"/>
    <x v="1"/>
  </r>
  <r>
    <s v="Mettler-Toledo, LLC - MTI"/>
    <s v="MTMO-US"/>
    <s v="7210111"/>
    <s v="MaintBuilding-Leased"/>
    <s v="General &amp; Admin"/>
    <n v="77936.72"/>
    <n v="98177.04"/>
    <x v="1"/>
  </r>
  <r>
    <s v="Mettler-Toledo, LLC - MTI"/>
    <s v="MTMO-US"/>
    <s v="7210112"/>
    <s v="Utility-Elect-Leased"/>
    <s v="Service"/>
    <n v="1235.79"/>
    <n v="1035.57"/>
    <x v="1"/>
  </r>
  <r>
    <s v="Mettler-Toledo, LLC - MTI"/>
    <s v="MTMO-US"/>
    <s v="7210112"/>
    <s v="Utility-Elect-Leased"/>
    <s v="Marketing"/>
    <n v="94.3"/>
    <n v="79.33"/>
    <x v="1"/>
  </r>
  <r>
    <s v="Mettler-Toledo, LLC - MTI"/>
    <s v="MTMO-US"/>
    <s v="7210113"/>
    <s v="Utility-NatGas-Lease"/>
    <s v="Service"/>
    <n v="101.29"/>
    <n v="126.35"/>
    <x v="1"/>
  </r>
  <r>
    <s v="Mettler-Toledo, LLC - MTI"/>
    <s v="MTMO-US"/>
    <s v="7210114"/>
    <s v="Util-WatSewer-Lease"/>
    <s v="Service"/>
    <n v="104.74"/>
    <n v="172.52"/>
    <x v="1"/>
  </r>
  <r>
    <s v="Mettler-Toledo, LLC - MTI"/>
    <s v="MTMO-US"/>
    <s v="7210115"/>
    <s v="Utility-Other-Leased"/>
    <s v="Service"/>
    <n v="690"/>
    <n v="294.14999999999998"/>
    <x v="1"/>
  </r>
  <r>
    <s v="Mettler-Toledo, LLC - MTI"/>
    <s v="MTMO-US"/>
    <s v="7210116"/>
    <s v="RealEstateTax-Leased"/>
    <s v="Service"/>
    <m/>
    <m/>
    <x v="1"/>
  </r>
  <r>
    <s v="Mettler-Toledo, LLC - MTI"/>
    <s v="MTMO-US"/>
    <s v="7210117"/>
    <s v="PropertyInsure-Lease"/>
    <s v="Service"/>
    <m/>
    <m/>
    <x v="1"/>
  </r>
  <r>
    <s v="Mettler-Toledo, LLC - MTI"/>
    <s v="MTMO-US"/>
    <s v="7210117"/>
    <s v="PropertyInsure-Lease"/>
    <s v="Marketing"/>
    <m/>
    <m/>
    <x v="1"/>
  </r>
  <r>
    <s v="Mettler-Toledo, LLC - MTI"/>
    <s v="MTMO-US"/>
    <s v="7210118"/>
    <s v="ST LsEx-RealEst-Leas"/>
    <s v="Service"/>
    <n v="4443.17"/>
    <n v="5556.77"/>
    <x v="1"/>
  </r>
  <r>
    <s v="Mettler-Toledo, LLC - MTI"/>
    <s v="MTMO-US"/>
    <s v="7210118"/>
    <s v="ST LsEx-RealEst-Leas"/>
    <s v="Marketing"/>
    <n v="1152.08"/>
    <n v="1289.45"/>
    <x v="1"/>
  </r>
  <r>
    <s v="Mettler-Toledo, LLC - MTI"/>
    <s v="MTMO-US"/>
    <s v="7210119"/>
    <s v="LseNotCap-RealEstExp"/>
    <s v="Service"/>
    <n v="15251.33"/>
    <n v="11886.71"/>
    <x v="1"/>
  </r>
  <r>
    <s v="Mettler-Toledo, LLC - MTI"/>
    <s v="MTMO-US"/>
    <s v="7210119"/>
    <s v="LseNotCap-RealEstExp"/>
    <s v="Marketing"/>
    <n v="2866.7"/>
    <n v="2898.72"/>
    <x v="1"/>
  </r>
  <r>
    <s v="Mettler-Toledo, LLC - MTI"/>
    <s v="MTMO-US"/>
    <s v="7210119"/>
    <s v="LseNotCap-RealEstExp"/>
    <s v="General &amp; Admin"/>
    <m/>
    <n v="90"/>
    <x v="1"/>
  </r>
  <r>
    <s v="Mettler-Toledo, LLC - MTI"/>
    <s v="MTMO-US"/>
    <s v="7210200"/>
    <s v="Maintenance Building"/>
    <s v="Service"/>
    <n v="3661.88"/>
    <n v="2540.5700000000002"/>
    <x v="1"/>
  </r>
  <r>
    <s v="Mettler-Toledo, LLC - MTI"/>
    <s v="MTMO-US"/>
    <s v="7210200"/>
    <s v="Maintenance Building"/>
    <s v="Marketing"/>
    <n v="524.84"/>
    <n v="1763.27"/>
    <x v="1"/>
  </r>
  <r>
    <s v="Mettler-Toledo, LLC - MTI"/>
    <s v="MTMO-US"/>
    <s v="7210200"/>
    <s v="Maintenance Building"/>
    <s v="General &amp; Admin"/>
    <n v="12024.4"/>
    <n v="9108.3799999999992"/>
    <x v="1"/>
  </r>
  <r>
    <s v="Mettler-Toledo, LLC - MTI"/>
    <s v="MTMO-US"/>
    <s v="7210410"/>
    <s v="Utilities - Electric"/>
    <s v="Service"/>
    <n v="1793.86"/>
    <n v="4827.26"/>
    <x v="1"/>
  </r>
  <r>
    <s v="Mettler-Toledo, LLC - MTI"/>
    <s v="MTMO-US"/>
    <s v="7210410"/>
    <s v="Utilities - Electric"/>
    <s v="Marketing"/>
    <n v="172.73"/>
    <n v="755.87"/>
    <x v="1"/>
  </r>
  <r>
    <s v="Mettler-Toledo, LLC - MTI"/>
    <s v="MTMO-US"/>
    <s v="7210420"/>
    <s v="Utilities - Nat. Gas"/>
    <s v="Service"/>
    <n v="302.98"/>
    <n v="407.03"/>
    <x v="1"/>
  </r>
  <r>
    <s v="Mettler-Toledo, LLC - MTI"/>
    <s v="MTMO-US"/>
    <s v="7210420"/>
    <s v="Utilities - Nat. Gas"/>
    <s v="Marketing"/>
    <n v="56.78"/>
    <n v="29.14"/>
    <x v="1"/>
  </r>
  <r>
    <s v="Mettler-Toledo, LLC - MTI"/>
    <s v="MTMO-US"/>
    <s v="7210430"/>
    <s v="Utilities Water&amp;Sewr"/>
    <s v="Service"/>
    <n v="137.81"/>
    <n v="429.47"/>
    <x v="1"/>
  </r>
  <r>
    <s v="Mettler-Toledo, LLC - MTI"/>
    <s v="MTMO-US"/>
    <s v="7210430"/>
    <s v="Utilities Water&amp;Sewr"/>
    <s v="Marketing"/>
    <m/>
    <m/>
    <x v="1"/>
  </r>
  <r>
    <s v="Mettler-Toledo, LLC - MTI"/>
    <s v="MTMO-US"/>
    <s v="7210490"/>
    <s v="Utilities - Other"/>
    <s v="Service"/>
    <n v="4593.09"/>
    <n v="2498.4899999999998"/>
    <x v="1"/>
  </r>
  <r>
    <s v="Mettler-Toledo, LLC - MTI"/>
    <s v="MTMO-US"/>
    <s v="7210490"/>
    <s v="Utilities - Other"/>
    <s v="Marketing"/>
    <n v="153"/>
    <n v="575.9"/>
    <x v="1"/>
  </r>
  <r>
    <s v="Mettler-Toledo, LLC - MTI"/>
    <s v="MTMO-US"/>
    <s v="7210490"/>
    <s v="Utilities - Other"/>
    <s v="General &amp; Admin"/>
    <m/>
    <m/>
    <x v="1"/>
  </r>
  <r>
    <s v="Mettler-Toledo, LLC - MTI"/>
    <s v="MTMO-US"/>
    <s v="7210500"/>
    <s v="Real Estate Tax"/>
    <s v="Service"/>
    <m/>
    <n v="3838.47"/>
    <x v="1"/>
  </r>
  <r>
    <s v="Mettler-Toledo, LLC - MTI"/>
    <s v="MTMO-US"/>
    <s v="7210500"/>
    <s v="Real Estate Tax"/>
    <s v="Marketing"/>
    <m/>
    <m/>
    <x v="1"/>
  </r>
  <r>
    <s v="Mettler-Toledo, LLC - MTI"/>
    <s v="MTMO-US"/>
    <s v="7210600"/>
    <s v="Property Insurance"/>
    <s v="General &amp; Admin"/>
    <n v="6083.33"/>
    <n v="4987.92"/>
    <x v="1"/>
  </r>
  <r>
    <s v="Mettler-Toledo, LLC - MTI"/>
    <s v="MTMO-US"/>
    <s v="7220050"/>
    <s v="Meals/Entertainment"/>
    <s v="Logistics&amp;Purch. Costs"/>
    <n v="-1016.34"/>
    <n v="-114.04"/>
    <x v="2"/>
  </r>
  <r>
    <s v="Mettler-Toledo, LLC - MTI"/>
    <s v="MTMO-US"/>
    <s v="7220050"/>
    <s v="Meals/Entertainment"/>
    <s v="Service"/>
    <n v="94344.59"/>
    <n v="56684.07"/>
    <x v="2"/>
  </r>
  <r>
    <s v="Mettler-Toledo, LLC - MTI"/>
    <s v="MTMO-US"/>
    <s v="7220050"/>
    <s v="Meals/Entertainment"/>
    <s v="Marketing"/>
    <n v="80987.039999999994"/>
    <n v="58739.16"/>
    <x v="2"/>
  </r>
  <r>
    <s v="Mettler-Toledo, LLC - MTI"/>
    <s v="MTMO-US"/>
    <s v="7220050"/>
    <s v="Meals/Entertainment"/>
    <s v="Promotion"/>
    <m/>
    <m/>
    <x v="2"/>
  </r>
  <r>
    <s v="Mettler-Toledo, LLC - MTI"/>
    <s v="MTMO-US"/>
    <s v="7220050"/>
    <s v="Meals/Entertainment"/>
    <s v="General &amp; Admin"/>
    <n v="2087.88"/>
    <n v="-43917.16"/>
    <x v="2"/>
  </r>
  <r>
    <s v="Mettler-Toledo, LLC - MTI"/>
    <s v="MTMO-US"/>
    <s v="7220100"/>
    <s v="Hotel Accommodations"/>
    <s v="Logistics&amp;Purch. Costs"/>
    <n v="-912.71"/>
    <n v="-3886.16"/>
    <x v="2"/>
  </r>
  <r>
    <s v="Mettler-Toledo, LLC - MTI"/>
    <s v="MTMO-US"/>
    <s v="7220100"/>
    <s v="Hotel Accommodations"/>
    <s v="Service"/>
    <n v="178575.44"/>
    <n v="140674.9"/>
    <x v="2"/>
  </r>
  <r>
    <s v="Mettler-Toledo, LLC - MTI"/>
    <s v="MTMO-US"/>
    <s v="7220100"/>
    <s v="Hotel Accommodations"/>
    <s v="Marketing"/>
    <n v="106643.26"/>
    <n v="82613.08"/>
    <x v="2"/>
  </r>
  <r>
    <s v="Mettler-Toledo, LLC - MTI"/>
    <s v="MTMO-US"/>
    <s v="7220100"/>
    <s v="Hotel Accommodations"/>
    <s v="Promotion"/>
    <m/>
    <m/>
    <x v="2"/>
  </r>
  <r>
    <s v="Mettler-Toledo, LLC - MTI"/>
    <s v="MTMO-US"/>
    <s v="7220100"/>
    <s v="Hotel Accommodations"/>
    <s v="General &amp; Admin"/>
    <n v="0"/>
    <n v="883.42"/>
    <x v="2"/>
  </r>
  <r>
    <s v="Mettler-Toledo, LLC - MTI"/>
    <s v="MTMO-US"/>
    <s v="7220150"/>
    <s v="Airfare"/>
    <s v="Logistics&amp;Purch. Costs"/>
    <n v="2437.2800000000002"/>
    <n v="-2953.35"/>
    <x v="2"/>
  </r>
  <r>
    <s v="Mettler-Toledo, LLC - MTI"/>
    <s v="MTMO-US"/>
    <s v="7220150"/>
    <s v="Airfare"/>
    <s v="Service"/>
    <n v="62747.91"/>
    <n v="45245.279999999999"/>
    <x v="2"/>
  </r>
  <r>
    <s v="Mettler-Toledo, LLC - MTI"/>
    <s v="MTMO-US"/>
    <s v="7220150"/>
    <s v="Airfare"/>
    <s v="Marketing"/>
    <n v="98423.03"/>
    <n v="82656.88"/>
    <x v="2"/>
  </r>
  <r>
    <s v="Mettler-Toledo, LLC - MTI"/>
    <s v="MTMO-US"/>
    <s v="7220150"/>
    <s v="Airfare"/>
    <s v="Promotion"/>
    <m/>
    <m/>
    <x v="2"/>
  </r>
  <r>
    <s v="Mettler-Toledo, LLC - MTI"/>
    <s v="MTMO-US"/>
    <s v="7220150"/>
    <s v="Airfare"/>
    <s v="General &amp; Admin"/>
    <n v="1587.13"/>
    <n v="529.91999999999996"/>
    <x v="2"/>
  </r>
  <r>
    <s v="Mettler-Toledo, LLC - MTI"/>
    <s v="MTMO-US"/>
    <s v="7220250"/>
    <s v="Other Transportation"/>
    <s v="Logistics&amp;Purch. Costs"/>
    <n v="20.27"/>
    <n v="-9.7799999999999994"/>
    <x v="2"/>
  </r>
  <r>
    <s v="Mettler-Toledo, LLC - MTI"/>
    <s v="MTMO-US"/>
    <s v="7220250"/>
    <s v="Other Transportation"/>
    <s v="Service"/>
    <n v="11446.61"/>
    <n v="14244.06"/>
    <x v="2"/>
  </r>
  <r>
    <s v="Mettler-Toledo, LLC - MTI"/>
    <s v="MTMO-US"/>
    <s v="7220250"/>
    <s v="Other Transportation"/>
    <s v="Marketing"/>
    <n v="17610.689999999999"/>
    <n v="13058.08"/>
    <x v="2"/>
  </r>
  <r>
    <s v="Mettler-Toledo, LLC - MTI"/>
    <s v="MTMO-US"/>
    <s v="7220250"/>
    <s v="Other Transportation"/>
    <s v="Promotion"/>
    <m/>
    <m/>
    <x v="2"/>
  </r>
  <r>
    <s v="Mettler-Toledo, LLC - MTI"/>
    <s v="MTMO-US"/>
    <s v="7220250"/>
    <s v="Other Transportation"/>
    <s v="General &amp; Admin"/>
    <n v="75.27"/>
    <n v="323"/>
    <x v="2"/>
  </r>
  <r>
    <s v="Mettler-Toledo, LLC - MTI"/>
    <s v="MTMO-US"/>
    <s v="7220300"/>
    <s v="Auto Rental"/>
    <s v="Logistics&amp;Purch. Costs"/>
    <n v="268.45999999999998"/>
    <n v="353.08"/>
    <x v="2"/>
  </r>
  <r>
    <s v="Mettler-Toledo, LLC - MTI"/>
    <s v="MTMO-US"/>
    <s v="7220300"/>
    <s v="Auto Rental"/>
    <s v="Service"/>
    <n v="13862.97"/>
    <n v="16251.28"/>
    <x v="2"/>
  </r>
  <r>
    <s v="Mettler-Toledo, LLC - MTI"/>
    <s v="MTMO-US"/>
    <s v="7220300"/>
    <s v="Auto Rental"/>
    <s v="Marketing"/>
    <n v="9265.5300000000007"/>
    <n v="14959.72"/>
    <x v="2"/>
  </r>
  <r>
    <s v="Mettler-Toledo, LLC - MTI"/>
    <s v="MTMO-US"/>
    <s v="7220300"/>
    <s v="Auto Rental"/>
    <s v="General &amp; Admin"/>
    <n v="0"/>
    <n v="0"/>
    <x v="2"/>
  </r>
  <r>
    <s v="Mettler-Toledo, LLC - MTI"/>
    <s v="MTMO-US"/>
    <s v="7220350"/>
    <s v="Mileage/Km Reimburse"/>
    <s v="Logistics&amp;Purch. Costs"/>
    <m/>
    <m/>
    <x v="2"/>
  </r>
  <r>
    <s v="Mettler-Toledo, LLC - MTI"/>
    <s v="MTMO-US"/>
    <s v="7220350"/>
    <s v="Mileage/Km Reimburse"/>
    <s v="Service"/>
    <n v="707.7"/>
    <n v="115.24"/>
    <x v="2"/>
  </r>
  <r>
    <s v="Mettler-Toledo, LLC - MTI"/>
    <s v="MTMO-US"/>
    <s v="7220350"/>
    <s v="Mileage/Km Reimburse"/>
    <s v="Marketing"/>
    <n v="1201.2"/>
    <n v="3687.68"/>
    <x v="2"/>
  </r>
  <r>
    <s v="Mettler-Toledo, LLC - MTI"/>
    <s v="MTMO-US"/>
    <s v="7220350"/>
    <s v="Mileage/Km Reimburse"/>
    <s v="General &amp; Admin"/>
    <m/>
    <m/>
    <x v="2"/>
  </r>
  <r>
    <s v="Mettler-Toledo, LLC - MTI"/>
    <s v="MTMO-US"/>
    <s v="7220800"/>
    <s v="Meetings Exp"/>
    <s v="Logistics&amp;Purch. Costs"/>
    <m/>
    <m/>
    <x v="2"/>
  </r>
  <r>
    <s v="Mettler-Toledo, LLC - MTI"/>
    <s v="MTMO-US"/>
    <s v="7220800"/>
    <s v="Meetings Exp"/>
    <s v="Service"/>
    <n v="3138.34"/>
    <n v="328.58"/>
    <x v="2"/>
  </r>
  <r>
    <s v="Mettler-Toledo, LLC - MTI"/>
    <s v="MTMO-US"/>
    <s v="7220800"/>
    <s v="Meetings Exp"/>
    <s v="Marketing"/>
    <n v="33063.49"/>
    <n v="21371.8"/>
    <x v="2"/>
  </r>
  <r>
    <s v="Mettler-Toledo, LLC - MTI"/>
    <s v="MTMO-US"/>
    <s v="7220800"/>
    <s v="Meetings Exp"/>
    <s v="General &amp; Admin"/>
    <m/>
    <n v="2500"/>
    <x v="2"/>
  </r>
  <r>
    <s v="Mettler-Toledo, LLC - MTI"/>
    <s v="MTMO-US"/>
    <s v="7220900"/>
    <s v="Other Trav. &amp; Enter."/>
    <s v="Logistics&amp;Purch. Costs"/>
    <n v="-790.47"/>
    <n v="-38.4"/>
    <x v="2"/>
  </r>
  <r>
    <s v="Mettler-Toledo, LLC - MTI"/>
    <s v="MTMO-US"/>
    <s v="7220900"/>
    <s v="Other Trav. &amp; Enter."/>
    <s v="Service"/>
    <n v="2028.07"/>
    <n v="1612.11"/>
    <x v="2"/>
  </r>
  <r>
    <s v="Mettler-Toledo, LLC - MTI"/>
    <s v="MTMO-US"/>
    <s v="7220900"/>
    <s v="Other Trav. &amp; Enter."/>
    <s v="Marketing"/>
    <n v="-10894.9"/>
    <n v="-3897.99"/>
    <x v="2"/>
  </r>
  <r>
    <s v="Mettler-Toledo, LLC - MTI"/>
    <s v="MTMO-US"/>
    <s v="7220900"/>
    <s v="Other Trav. &amp; Enter."/>
    <s v="General &amp; Admin"/>
    <n v="1315.84"/>
    <n v="33.94"/>
    <x v="2"/>
  </r>
  <r>
    <s v="Mettler-Toledo, LLC - MTI"/>
    <s v="MTMO-US"/>
    <s v="7230050"/>
    <s v="Vehicle Leasing"/>
    <s v="Logistics&amp;Purch. Costs"/>
    <m/>
    <m/>
    <x v="3"/>
  </r>
  <r>
    <s v="Mettler-Toledo, LLC - MTI"/>
    <s v="MTMO-US"/>
    <s v="7230050"/>
    <s v="Vehicle Leasing"/>
    <s v="Service"/>
    <n v="153208.47"/>
    <n v="54605.120000000003"/>
    <x v="3"/>
  </r>
  <r>
    <s v="Mettler-Toledo, LLC - MTI"/>
    <s v="MTMO-US"/>
    <s v="7230050"/>
    <s v="Vehicle Leasing"/>
    <s v="Marketing"/>
    <n v="67628.66"/>
    <n v="27698.75"/>
    <x v="3"/>
  </r>
  <r>
    <s v="Mettler-Toledo, LLC - MTI"/>
    <s v="MTMO-US"/>
    <s v="7230050"/>
    <s v="Vehicle Leasing"/>
    <s v="General &amp; Admin"/>
    <n v="215959.04000000001"/>
    <n v="23315.32"/>
    <x v="3"/>
  </r>
  <r>
    <s v="Mettler-Toledo, LLC - MTI"/>
    <s v="MTMO-US"/>
    <s v="7230055"/>
    <s v="VehLeaseExp-Variable"/>
    <s v="Logistics&amp;Purch. Costs"/>
    <n v="558.37"/>
    <n v="464.97"/>
    <x v="0"/>
  </r>
  <r>
    <s v="Mettler-Toledo, LLC - MTI"/>
    <s v="MTMO-US"/>
    <s v="7230055"/>
    <s v="VehLeaseExp-Variable"/>
    <s v="Service"/>
    <n v="283809.99"/>
    <n v="259493.08"/>
    <x v="0"/>
  </r>
  <r>
    <s v="Mettler-Toledo, LLC - MTI"/>
    <s v="MTMO-US"/>
    <s v="7230055"/>
    <s v="VehLeaseExp-Variable"/>
    <s v="Marketing"/>
    <n v="65952.02"/>
    <n v="81391.520000000004"/>
    <x v="0"/>
  </r>
  <r>
    <s v="Mettler-Toledo, LLC - MTI"/>
    <s v="MTMO-US"/>
    <s v="7230055"/>
    <s v="VehLeaseExp-Variable"/>
    <s v="General &amp; Admin"/>
    <n v="-104427.68"/>
    <n v="99833.91"/>
    <x v="0"/>
  </r>
  <r>
    <s v="Mettler-Toledo, LLC - MTI"/>
    <s v="MTMO-US"/>
    <s v="7230060"/>
    <s v="Vehicle Rental"/>
    <s v="Service"/>
    <n v="18826.03"/>
    <m/>
    <x v="3"/>
  </r>
  <r>
    <s v="Mettler-Toledo, LLC - MTI"/>
    <s v="MTMO-US"/>
    <s v="7230060"/>
    <s v="Vehicle Rental"/>
    <s v="Marketing"/>
    <n v="7097.22"/>
    <m/>
    <x v="3"/>
  </r>
  <r>
    <s v="Mettler-Toledo, LLC - MTI"/>
    <s v="MTMO-US"/>
    <s v="7230060"/>
    <s v="Vehicle Rental"/>
    <s v="General &amp; Admin"/>
    <n v="9534.33"/>
    <m/>
    <x v="3"/>
  </r>
  <r>
    <s v="Mettler-Toledo, LLC - MTI"/>
    <s v="MTMO-US"/>
    <s v="7230100"/>
    <s v="Vehicle Fuel"/>
    <s v="Logistics&amp;Purch. Costs"/>
    <n v="0"/>
    <n v="44.78"/>
    <x v="3"/>
  </r>
  <r>
    <s v="Mettler-Toledo, LLC - MTI"/>
    <s v="MTMO-US"/>
    <s v="7230100"/>
    <s v="Vehicle Fuel"/>
    <s v="Service"/>
    <n v="193529.52"/>
    <n v="236041.27"/>
    <x v="3"/>
  </r>
  <r>
    <s v="Mettler-Toledo, LLC - MTI"/>
    <s v="MTMO-US"/>
    <s v="7230100"/>
    <s v="Vehicle Fuel"/>
    <s v="Marketing"/>
    <n v="28334.59"/>
    <n v="32852.6"/>
    <x v="3"/>
  </r>
  <r>
    <s v="Mettler-Toledo, LLC - MTI"/>
    <s v="MTMO-US"/>
    <s v="7230100"/>
    <s v="Vehicle Fuel"/>
    <s v="General &amp; Admin"/>
    <n v="58520.82"/>
    <n v="69774.3"/>
    <x v="3"/>
  </r>
  <r>
    <s v="Mettler-Toledo, LLC - MTI"/>
    <s v="MTMO-US"/>
    <s v="7230150"/>
    <s v="Vehicle Insurance"/>
    <s v="Logistics&amp;Purch. Costs"/>
    <n v="162.88"/>
    <n v="143.86000000000001"/>
    <x v="3"/>
  </r>
  <r>
    <s v="Mettler-Toledo, LLC - MTI"/>
    <s v="MTMO-US"/>
    <s v="7230150"/>
    <s v="Vehicle Insurance"/>
    <s v="Service"/>
    <n v="96751.17"/>
    <n v="83010.039999999994"/>
    <x v="3"/>
  </r>
  <r>
    <s v="Mettler-Toledo, LLC - MTI"/>
    <s v="MTMO-US"/>
    <s v="7230150"/>
    <s v="Vehicle Insurance"/>
    <s v="Marketing"/>
    <n v="31110.2"/>
    <n v="26327.02"/>
    <x v="3"/>
  </r>
  <r>
    <s v="Mettler-Toledo, LLC - MTI"/>
    <s v="MTMO-US"/>
    <s v="7230150"/>
    <s v="Vehicle Insurance"/>
    <s v="General &amp; Admin"/>
    <m/>
    <n v="143.86000000000001"/>
    <x v="3"/>
  </r>
  <r>
    <s v="Mettler-Toledo, LLC - MTI"/>
    <s v="MTMO-US"/>
    <s v="7230200"/>
    <s v="Vehicle Maint."/>
    <s v="Logistics&amp;Purch. Costs"/>
    <n v="-39.93"/>
    <n v="-231.33"/>
    <x v="3"/>
  </r>
  <r>
    <s v="Mettler-Toledo, LLC - MTI"/>
    <s v="MTMO-US"/>
    <s v="7230200"/>
    <s v="Vehicle Maint."/>
    <s v="Service"/>
    <n v="198510.54"/>
    <n v="231827.39"/>
    <x v="3"/>
  </r>
  <r>
    <s v="Mettler-Toledo, LLC - MTI"/>
    <s v="MTMO-US"/>
    <s v="7230200"/>
    <s v="Vehicle Maint."/>
    <s v="Marketing"/>
    <n v="35559.040000000001"/>
    <n v="5759.44"/>
    <x v="3"/>
  </r>
  <r>
    <s v="Mettler-Toledo, LLC - MTI"/>
    <s v="MTMO-US"/>
    <s v="7230200"/>
    <s v="Vehicle Maint."/>
    <s v="General &amp; Admin"/>
    <n v="48853.919999999998"/>
    <n v="37794.82"/>
    <x v="3"/>
  </r>
  <r>
    <s v="Mettler-Toledo, LLC - MTI"/>
    <s v="MTMO-US"/>
    <s v="7230250"/>
    <s v="Vehicle Other"/>
    <s v="Logistics&amp;Purch. Costs"/>
    <n v="1.5"/>
    <n v="234"/>
    <x v="3"/>
  </r>
  <r>
    <s v="Mettler-Toledo, LLC - MTI"/>
    <s v="MTMO-US"/>
    <s v="7230250"/>
    <s v="Vehicle Other"/>
    <s v="Service"/>
    <n v="139527.34"/>
    <n v="59158.2"/>
    <x v="3"/>
  </r>
  <r>
    <s v="Mettler-Toledo, LLC - MTI"/>
    <s v="MTMO-US"/>
    <s v="7230250"/>
    <s v="Vehicle Other"/>
    <s v="Marketing"/>
    <n v="14781.39"/>
    <n v="-39060.160000000003"/>
    <x v="3"/>
  </r>
  <r>
    <s v="Mettler-Toledo, LLC - MTI"/>
    <s v="MTMO-US"/>
    <s v="7230250"/>
    <s v="Vehicle Other"/>
    <s v="General &amp; Admin"/>
    <n v="-211173.06"/>
    <n v="-67681.320000000007"/>
    <x v="3"/>
  </r>
  <r>
    <s v="Mettler-Toledo, LLC - MTI"/>
    <s v="MTMO-US"/>
    <s v="7240050"/>
    <s v="Data networking cst"/>
    <s v="Service"/>
    <n v="494.34"/>
    <m/>
    <x v="4"/>
  </r>
  <r>
    <s v="Mettler-Toledo, LLC - MTI"/>
    <s v="MTMO-US"/>
    <s v="7240100"/>
    <s v="Telecom Mobile"/>
    <s v="Logistics&amp;Purch. Costs"/>
    <n v="570.71"/>
    <n v="523.51"/>
    <x v="4"/>
  </r>
  <r>
    <s v="Mettler-Toledo, LLC - MTI"/>
    <s v="MTMO-US"/>
    <s v="7240100"/>
    <s v="Telecom Mobile"/>
    <s v="Service"/>
    <n v="32303.53"/>
    <n v="31263.9"/>
    <x v="4"/>
  </r>
  <r>
    <s v="Mettler-Toledo, LLC - MTI"/>
    <s v="MTMO-US"/>
    <s v="7240100"/>
    <s v="Telecom Mobile"/>
    <s v="Marketing"/>
    <n v="18646.169999999998"/>
    <n v="16426.919999999998"/>
    <x v="4"/>
  </r>
  <r>
    <s v="Mettler-Toledo, LLC - MTI"/>
    <s v="MTMO-US"/>
    <s v="7240100"/>
    <s v="Telecom Mobile"/>
    <s v="General &amp; Admin"/>
    <n v="1266.51"/>
    <n v="1062.25"/>
    <x v="4"/>
  </r>
  <r>
    <s v="Mettler-Toledo, LLC - MTI"/>
    <s v="MTMO-US"/>
    <s v="7240150"/>
    <s v="Telecom Services"/>
    <s v="Logistics&amp;Purch. Costs"/>
    <m/>
    <m/>
    <x v="4"/>
  </r>
  <r>
    <s v="Mettler-Toledo, LLC - MTI"/>
    <s v="MTMO-US"/>
    <s v="7240150"/>
    <s v="Telecom Services"/>
    <s v="Service"/>
    <n v="3424.73"/>
    <n v="6573.61"/>
    <x v="4"/>
  </r>
  <r>
    <s v="Mettler-Toledo, LLC - MTI"/>
    <s v="MTMO-US"/>
    <s v="7240150"/>
    <s v="Telecom Services"/>
    <s v="Marketing"/>
    <n v="6375.34"/>
    <n v="14715.27"/>
    <x v="4"/>
  </r>
  <r>
    <s v="Mettler-Toledo, LLC - MTI"/>
    <s v="MTMO-US"/>
    <s v="7240150"/>
    <s v="Telecom Services"/>
    <s v="General &amp; Admin"/>
    <n v="21533.29"/>
    <n v="13735.27"/>
    <x v="4"/>
  </r>
  <r>
    <s v="Mettler-Toledo, LLC - MTI"/>
    <s v="MTMO-US"/>
    <s v="7240200"/>
    <s v="Telephone Local"/>
    <s v="Service"/>
    <n v="961.04"/>
    <m/>
    <x v="4"/>
  </r>
  <r>
    <s v="Mettler-Toledo, LLC - MTI"/>
    <s v="MTMO-US"/>
    <s v="7250050"/>
    <s v="R&amp;D Suppl. &amp; Mat'ls"/>
    <s v="Service"/>
    <m/>
    <m/>
    <x v="5"/>
  </r>
  <r>
    <s v="Mettler-Toledo, LLC - MTI"/>
    <s v="MTMO-US"/>
    <s v="7250050"/>
    <s v="R&amp;D Suppl. &amp; Mat'ls"/>
    <s v="Marketing"/>
    <m/>
    <m/>
    <x v="5"/>
  </r>
  <r>
    <s v="Mettler-Toledo, LLC - MTI"/>
    <s v="MTMO-US"/>
    <s v="7260050"/>
    <s v="SW Maint./Subscript."/>
    <s v="Logistics&amp;Purch. Costs"/>
    <n v="473.03"/>
    <n v="34.22"/>
    <x v="6"/>
  </r>
  <r>
    <s v="Mettler-Toledo, LLC - MTI"/>
    <s v="MTMO-US"/>
    <s v="7260050"/>
    <s v="SW Maint./Subscript."/>
    <s v="Service"/>
    <n v="3892.86"/>
    <n v="674.64"/>
    <x v="6"/>
  </r>
  <r>
    <s v="Mettler-Toledo, LLC - MTI"/>
    <s v="MTMO-US"/>
    <s v="7260050"/>
    <s v="SW Maint./Subscript."/>
    <s v="Marketing"/>
    <n v="27652.6"/>
    <n v="5353.19"/>
    <x v="6"/>
  </r>
  <r>
    <s v="Mettler-Toledo, LLC - MTI"/>
    <s v="MTMO-US"/>
    <s v="7260050"/>
    <s v="SW Maint./Subscript."/>
    <s v="General &amp; Admin"/>
    <n v="9643.58"/>
    <n v="9286.8700000000008"/>
    <x v="6"/>
  </r>
  <r>
    <s v="Mettler-Toledo, LLC - MTI"/>
    <s v="MTMO-US"/>
    <s v="7260100"/>
    <s v="IT HW Maintenance"/>
    <s v="Logistics&amp;Purch. Costs"/>
    <n v="0"/>
    <m/>
    <x v="6"/>
  </r>
  <r>
    <s v="Mettler-Toledo, LLC - MTI"/>
    <s v="MTMO-US"/>
    <s v="7260100"/>
    <s v="IT HW Maintenance"/>
    <s v="Service"/>
    <n v="-51.13"/>
    <n v="98.57"/>
    <x v="6"/>
  </r>
  <r>
    <s v="Mettler-Toledo, LLC - MTI"/>
    <s v="MTMO-US"/>
    <s v="7260100"/>
    <s v="IT HW Maintenance"/>
    <s v="Marketing"/>
    <n v="204.21"/>
    <m/>
    <x v="6"/>
  </r>
  <r>
    <s v="Mettler-Toledo, LLC - MTI"/>
    <s v="MTMO-US"/>
    <s v="7260100"/>
    <s v="IT HW Maintenance"/>
    <s v="General &amp; Admin"/>
    <m/>
    <m/>
    <x v="6"/>
  </r>
  <r>
    <s v="Mettler-Toledo, LLC - MTI"/>
    <s v="MTMO-US"/>
    <s v="7270050"/>
    <s v="Direct Mail"/>
    <s v="Service"/>
    <m/>
    <m/>
    <x v="7"/>
  </r>
  <r>
    <s v="Mettler-Toledo, LLC - MTI"/>
    <s v="MTMO-US"/>
    <s v="7270050"/>
    <s v="Direct Mail"/>
    <s v="Marketing"/>
    <m/>
    <m/>
    <x v="7"/>
  </r>
  <r>
    <s v="Mettler-Toledo, LLC - MTI"/>
    <s v="MTMO-US"/>
    <s v="7270050"/>
    <s v="Direct Mail"/>
    <s v="Promotion"/>
    <m/>
    <n v="0"/>
    <x v="7"/>
  </r>
  <r>
    <s v="Mettler-Toledo, LLC - MTI"/>
    <s v="MTMO-US"/>
    <s v="7270100"/>
    <s v="Advertising"/>
    <s v="Service"/>
    <n v="251.55"/>
    <n v="7.58"/>
    <x v="7"/>
  </r>
  <r>
    <s v="Mettler-Toledo, LLC - MTI"/>
    <s v="MTMO-US"/>
    <s v="7270100"/>
    <s v="Advertising"/>
    <s v="Marketing"/>
    <n v="5320.31"/>
    <n v="12566.53"/>
    <x v="7"/>
  </r>
  <r>
    <s v="Mettler-Toledo, LLC - MTI"/>
    <s v="MTMO-US"/>
    <s v="7270100"/>
    <s v="Advertising"/>
    <s v="Promotion"/>
    <n v="43750"/>
    <n v="71908.34"/>
    <x v="7"/>
  </r>
  <r>
    <s v="Mettler-Toledo, LLC - MTI"/>
    <s v="MTMO-US"/>
    <s v="7270100"/>
    <s v="Advertising"/>
    <s v="General &amp; Admin"/>
    <m/>
    <m/>
    <x v="7"/>
  </r>
  <r>
    <s v="Mettler-Toledo, LLC - MTI"/>
    <s v="MTMO-US"/>
    <s v="7270150"/>
    <s v="Marketing Print"/>
    <s v="Service"/>
    <n v="1066.32"/>
    <m/>
    <x v="7"/>
  </r>
  <r>
    <s v="Mettler-Toledo, LLC - MTI"/>
    <s v="MTMO-US"/>
    <s v="7270150"/>
    <s v="Marketing Print"/>
    <s v="Marketing"/>
    <n v="4000.19"/>
    <n v="334.32"/>
    <x v="7"/>
  </r>
  <r>
    <s v="Mettler-Toledo, LLC - MTI"/>
    <s v="MTMO-US"/>
    <s v="7270150"/>
    <s v="Marketing Print"/>
    <s v="Promotion"/>
    <n v="1562.5"/>
    <n v="-2365"/>
    <x v="7"/>
  </r>
  <r>
    <s v="Mettler-Toledo, LLC - MTI"/>
    <s v="MTMO-US"/>
    <s v="7270150"/>
    <s v="Marketing Print"/>
    <s v="General &amp; Admin"/>
    <m/>
    <m/>
    <x v="7"/>
  </r>
  <r>
    <s v="Mettler-Toledo, LLC - MTI"/>
    <s v="MTMO-US"/>
    <s v="7270200"/>
    <s v="Publicity"/>
    <s v="Marketing"/>
    <m/>
    <n v="0"/>
    <x v="7"/>
  </r>
  <r>
    <s v="Mettler-Toledo, LLC - MTI"/>
    <s v="MTMO-US"/>
    <s v="7270300"/>
    <s v="Telemarketing"/>
    <s v="Marketing"/>
    <m/>
    <n v="24.59"/>
    <x v="7"/>
  </r>
  <r>
    <s v="Mettler-Toledo, LLC - MTI"/>
    <s v="MTMO-US"/>
    <s v="7270350"/>
    <s v="Electronic Marketing"/>
    <s v="Marketing"/>
    <n v="483.56"/>
    <n v="-154.56"/>
    <x v="7"/>
  </r>
  <r>
    <s v="Mettler-Toledo, LLC - MTI"/>
    <s v="MTMO-US"/>
    <s v="7270350"/>
    <s v="Electronic Marketing"/>
    <s v="Promotion"/>
    <n v="22298.5"/>
    <n v="27387.09"/>
    <x v="7"/>
  </r>
  <r>
    <s v="Mettler-Toledo, LLC - MTI"/>
    <s v="MTMO-US"/>
    <s v="7270400"/>
    <s v="Prom or Rebate Offer"/>
    <s v="Marketing"/>
    <m/>
    <n v="7.35"/>
    <x v="7"/>
  </r>
  <r>
    <s v="Mettler-Toledo, LLC - MTI"/>
    <s v="MTMO-US"/>
    <s v="7270450"/>
    <s v="Trade Shows"/>
    <s v="Service"/>
    <m/>
    <m/>
    <x v="7"/>
  </r>
  <r>
    <s v="Mettler-Toledo, LLC - MTI"/>
    <s v="MTMO-US"/>
    <s v="7270450"/>
    <s v="Trade Shows"/>
    <s v="Marketing"/>
    <n v="25762.37"/>
    <n v="43508.83"/>
    <x v="7"/>
  </r>
  <r>
    <s v="Mettler-Toledo, LLC - MTI"/>
    <s v="MTMO-US"/>
    <s v="7270450"/>
    <s v="Trade Shows"/>
    <s v="Promotion"/>
    <n v="71949.34"/>
    <n v="2365"/>
    <x v="7"/>
  </r>
  <r>
    <s v="Mettler-Toledo, LLC - MTI"/>
    <s v="MTMO-US"/>
    <s v="7270500"/>
    <s v="Giveaway Items"/>
    <s v="Service"/>
    <n v="978.79"/>
    <m/>
    <x v="7"/>
  </r>
  <r>
    <s v="Mettler-Toledo, LLC - MTI"/>
    <s v="MTMO-US"/>
    <s v="7270500"/>
    <s v="Giveaway Items"/>
    <s v="Marketing"/>
    <n v="1179.3"/>
    <n v="1245.44"/>
    <x v="7"/>
  </r>
  <r>
    <s v="Mettler-Toledo, LLC - MTI"/>
    <s v="MTMO-US"/>
    <s v="7270500"/>
    <s v="Giveaway Items"/>
    <s v="Promotion"/>
    <m/>
    <n v="0"/>
    <x v="7"/>
  </r>
  <r>
    <s v="Mettler-Toledo, LLC - MTI"/>
    <s v="MTMO-US"/>
    <s v="7270500"/>
    <s v="Giveaway Items"/>
    <s v="General &amp; Admin"/>
    <m/>
    <m/>
    <x v="7"/>
  </r>
  <r>
    <s v="Mettler-Toledo, LLC - MTI"/>
    <s v="MTMO-US"/>
    <s v="7270550"/>
    <s v="Catalogs"/>
    <s v="Service"/>
    <n v="66.17"/>
    <n v="-24.5"/>
    <x v="7"/>
  </r>
  <r>
    <s v="Mettler-Toledo, LLC - MTI"/>
    <s v="MTMO-US"/>
    <s v="7270550"/>
    <s v="Catalogs"/>
    <s v="Marketing"/>
    <n v="-1242.01"/>
    <n v="49.54"/>
    <x v="7"/>
  </r>
  <r>
    <s v="Mettler-Toledo, LLC - MTI"/>
    <s v="MTMO-US"/>
    <s v="7270550"/>
    <s v="Catalogs"/>
    <s v="General &amp; Admin"/>
    <m/>
    <m/>
    <x v="7"/>
  </r>
  <r>
    <s v="Mettler-Toledo, LLC - MTI"/>
    <s v="MTMO-US"/>
    <s v="7270800"/>
    <s v="Mktg Translation Exp"/>
    <s v="Marketing"/>
    <m/>
    <n v="0"/>
    <x v="7"/>
  </r>
  <r>
    <s v="Mettler-Toledo, LLC - MTI"/>
    <s v="MTMO-US"/>
    <s v="7270900"/>
    <s v="Other Promo Expense"/>
    <s v="Service"/>
    <m/>
    <m/>
    <x v="7"/>
  </r>
  <r>
    <s v="Mettler-Toledo, LLC - MTI"/>
    <s v="MTMO-US"/>
    <s v="7270900"/>
    <s v="Other Promo Expense"/>
    <s v="Marketing"/>
    <n v="183.1"/>
    <n v="-295.27"/>
    <x v="7"/>
  </r>
  <r>
    <s v="Mettler-Toledo, LLC - MTI"/>
    <s v="MTMO-US"/>
    <s v="7270900"/>
    <s v="Other Promo Expense"/>
    <s v="Promotion"/>
    <m/>
    <m/>
    <x v="7"/>
  </r>
  <r>
    <s v="Mettler-Toledo, LLC - MTI"/>
    <s v="MTMO-US"/>
    <s v="7270900"/>
    <s v="Other Promo Expense"/>
    <s v="General &amp; Admin"/>
    <n v="-183.1"/>
    <m/>
    <x v="7"/>
  </r>
  <r>
    <s v="Mettler-Toledo, LLC - MTI"/>
    <s v="MTMO-US"/>
    <s v="7280100"/>
    <s v="Ext.Audit &amp; SOX Fees"/>
    <s v="Logistics&amp;Purch. Costs"/>
    <m/>
    <m/>
    <x v="8"/>
  </r>
  <r>
    <s v="Mettler-Toledo, LLC - MTI"/>
    <s v="MTMO-US"/>
    <s v="7280100"/>
    <s v="Ext.Audit &amp; SOX Fees"/>
    <s v="General &amp; Admin"/>
    <n v="22363.58"/>
    <n v="21920.83"/>
    <x v="8"/>
  </r>
  <r>
    <s v="Mettler-Toledo, LLC - MTI"/>
    <s v="MTMO-US"/>
    <s v="7280900"/>
    <s v="Oth. Ext. Audit Fees"/>
    <s v="Service"/>
    <m/>
    <m/>
    <x v="8"/>
  </r>
  <r>
    <s v="Mettler-Toledo, LLC - MTI"/>
    <s v="MTMO-US"/>
    <s v="7290050"/>
    <s v="Tax Prof. Fees"/>
    <s v="Service"/>
    <m/>
    <m/>
    <x v="9"/>
  </r>
  <r>
    <s v="Mettler-Toledo, LLC - MTI"/>
    <s v="MTMO-US"/>
    <s v="7290050"/>
    <s v="Tax Prof. Fees"/>
    <s v="Marketing"/>
    <m/>
    <m/>
    <x v="9"/>
  </r>
  <r>
    <s v="Mettler-Toledo, LLC - MTI"/>
    <s v="MTMO-US"/>
    <s v="7290100"/>
    <s v="Legal Fees"/>
    <s v="Service"/>
    <n v="28298"/>
    <n v="10797"/>
    <x v="9"/>
  </r>
  <r>
    <s v="Mettler-Toledo, LLC - MTI"/>
    <s v="MTMO-US"/>
    <s v="7290100"/>
    <s v="Legal Fees"/>
    <s v="Marketing"/>
    <n v="14826.45"/>
    <n v="11307.77"/>
    <x v="9"/>
  </r>
  <r>
    <s v="Mettler-Toledo, LLC - MTI"/>
    <s v="MTMO-US"/>
    <s v="7290100"/>
    <s v="Legal Fees"/>
    <s v="General &amp; Admin"/>
    <n v="7574.5"/>
    <n v="7474.5"/>
    <x v="9"/>
  </r>
  <r>
    <s v="Mettler-Toledo, LLC - MTI"/>
    <s v="MTMO-US"/>
    <s v="7290150"/>
    <s v="IT Professional Fees"/>
    <s v="Service"/>
    <n v="839.18"/>
    <m/>
    <x v="9"/>
  </r>
  <r>
    <s v="Mettler-Toledo, LLC - MTI"/>
    <s v="MTMO-US"/>
    <s v="7290150"/>
    <s v="IT Professional Fees"/>
    <s v="Marketing"/>
    <n v="0"/>
    <n v="260.99"/>
    <x v="9"/>
  </r>
  <r>
    <s v="Mettler-Toledo, LLC - MTI"/>
    <s v="MTMO-US"/>
    <s v="7290150"/>
    <s v="IT Professional Fees"/>
    <s v="General &amp; Admin"/>
    <m/>
    <m/>
    <x v="9"/>
  </r>
  <r>
    <s v="Mettler-Toledo, LLC - MTI"/>
    <s v="MTMO-US"/>
    <s v="7290250"/>
    <s v="Temporary Employees"/>
    <s v="Logistics&amp;Purch. Costs"/>
    <m/>
    <m/>
    <x v="9"/>
  </r>
  <r>
    <s v="Mettler-Toledo, LLC - MTI"/>
    <s v="MTMO-US"/>
    <s v="7290250"/>
    <s v="Temporary Employees"/>
    <s v="Service"/>
    <n v="3603.91"/>
    <n v="14962.75"/>
    <x v="9"/>
  </r>
  <r>
    <s v="Mettler-Toledo, LLC - MTI"/>
    <s v="MTMO-US"/>
    <s v="7290250"/>
    <s v="Temporary Employees"/>
    <s v="Marketing"/>
    <m/>
    <n v="268.38"/>
    <x v="9"/>
  </r>
  <r>
    <s v="Mettler-Toledo, LLC - MTI"/>
    <s v="MTMO-US"/>
    <s v="7290300"/>
    <s v="SCM/Logist. Consult."/>
    <s v="Marketing"/>
    <m/>
    <m/>
    <x v="9"/>
  </r>
  <r>
    <s v="Mettler-Toledo, LLC - MTI"/>
    <s v="MTMO-US"/>
    <s v="7290400"/>
    <s v="HR &amp; Recruiting Fees"/>
    <s v="Logistics&amp;Purch. Costs"/>
    <m/>
    <m/>
    <x v="9"/>
  </r>
  <r>
    <s v="Mettler-Toledo, LLC - MTI"/>
    <s v="MTMO-US"/>
    <s v="7290400"/>
    <s v="HR &amp; Recruiting Fees"/>
    <s v="Service"/>
    <n v="4587.58"/>
    <n v="1011.37"/>
    <x v="9"/>
  </r>
  <r>
    <s v="Mettler-Toledo, LLC - MTI"/>
    <s v="MTMO-US"/>
    <s v="7290400"/>
    <s v="HR &amp; Recruiting Fees"/>
    <s v="Marketing"/>
    <n v="12280.07"/>
    <n v="74.88"/>
    <x v="9"/>
  </r>
  <r>
    <s v="Mettler-Toledo, LLC - MTI"/>
    <s v="MTMO-US"/>
    <s v="7290400"/>
    <s v="HR &amp; Recruiting Fees"/>
    <s v="General &amp; Admin"/>
    <n v="6835.34"/>
    <n v="4319.13"/>
    <x v="9"/>
  </r>
  <r>
    <s v="Mettler-Toledo, LLC - MTI"/>
    <s v="MTMO-US"/>
    <s v="7290900"/>
    <s v="Oth. Cons.&amp;Prof Fees"/>
    <s v="Logistics&amp;Purch. Costs"/>
    <n v="7285.25"/>
    <n v="3350"/>
    <x v="9"/>
  </r>
  <r>
    <s v="Mettler-Toledo, LLC - MTI"/>
    <s v="MTMO-US"/>
    <s v="7290900"/>
    <s v="Oth. Cons.&amp;Prof Fees"/>
    <s v="Service"/>
    <n v="1638.11"/>
    <n v="3360.52"/>
    <x v="9"/>
  </r>
  <r>
    <s v="Mettler-Toledo, LLC - MTI"/>
    <s v="MTMO-US"/>
    <s v="7290900"/>
    <s v="Oth. Cons.&amp;Prof Fees"/>
    <s v="Marketing"/>
    <n v="456.11"/>
    <n v="4955.17"/>
    <x v="9"/>
  </r>
  <r>
    <s v="Mettler-Toledo, LLC - MTI"/>
    <s v="MTMO-US"/>
    <s v="7290900"/>
    <s v="Oth. Cons.&amp;Prof Fees"/>
    <s v="General &amp; Admin"/>
    <n v="685.16"/>
    <n v="10762.03"/>
    <x v="9"/>
  </r>
  <r>
    <s v="Mettler-Toledo, LLC - MTI"/>
    <s v="MTMO-US"/>
    <s v="7291100"/>
    <s v="Tooling not capital."/>
    <s v="Service"/>
    <n v="34871.54"/>
    <n v="11271.67"/>
    <x v="10"/>
  </r>
  <r>
    <s v="Mettler-Toledo, LLC - MTI"/>
    <s v="MTMO-US"/>
    <s v="7291100"/>
    <s v="Tooling not capital."/>
    <s v="Marketing"/>
    <n v="0"/>
    <n v="6.43"/>
    <x v="10"/>
  </r>
  <r>
    <s v="Mettler-Toledo, LLC - MTI"/>
    <s v="MTMO-US"/>
    <s v="7291100"/>
    <s v="Tooling not capital."/>
    <s v="General &amp; Admin"/>
    <m/>
    <m/>
    <x v="10"/>
  </r>
  <r>
    <s v="Mettler-Toledo, LLC - MTI"/>
    <s v="MTMO-US"/>
    <s v="7291200"/>
    <s v="Maint. Mach.&amp;Equip."/>
    <s v="Service"/>
    <n v="697.95"/>
    <n v="4803.63"/>
    <x v="10"/>
  </r>
  <r>
    <s v="Mettler-Toledo, LLC - MTI"/>
    <s v="MTMO-US"/>
    <s v="7291200"/>
    <s v="Maint. Mach.&amp;Equip."/>
    <s v="Marketing"/>
    <n v="32.15"/>
    <m/>
    <x v="10"/>
  </r>
  <r>
    <s v="Mettler-Toledo, LLC - MTI"/>
    <s v="MTMO-US"/>
    <s v="7291200"/>
    <s v="Maint. Mach.&amp;Equip."/>
    <s v="General &amp; Admin"/>
    <m/>
    <m/>
    <x v="10"/>
  </r>
  <r>
    <s v="Mettler-Toledo, LLC - MTI"/>
    <s v="MTMO-US"/>
    <s v="7291300"/>
    <s v="IT HW not capital."/>
    <s v="Logistics&amp;Purch. Costs"/>
    <m/>
    <n v="85.99"/>
    <x v="10"/>
  </r>
  <r>
    <s v="Mettler-Toledo, LLC - MTI"/>
    <s v="MTMO-US"/>
    <s v="7291300"/>
    <s v="IT HW not capital."/>
    <s v="Service"/>
    <n v="5915.41"/>
    <n v="376.97"/>
    <x v="10"/>
  </r>
  <r>
    <s v="Mettler-Toledo, LLC - MTI"/>
    <s v="MTMO-US"/>
    <s v="7291300"/>
    <s v="IT HW not capital."/>
    <s v="Marketing"/>
    <n v="1923.18"/>
    <n v="-292.17"/>
    <x v="10"/>
  </r>
  <r>
    <s v="Mettler-Toledo, LLC - MTI"/>
    <s v="MTMO-US"/>
    <s v="7291300"/>
    <s v="IT HW not capital."/>
    <s v="General &amp; Admin"/>
    <n v="30945.95"/>
    <n v="16860.36"/>
    <x v="10"/>
  </r>
  <r>
    <s v="Mettler-Toledo, LLC - MTI"/>
    <s v="MTMO-US"/>
    <s v="7291350"/>
    <s v="Software not capital"/>
    <s v="Logistics&amp;Purch. Costs"/>
    <m/>
    <m/>
    <x v="10"/>
  </r>
  <r>
    <s v="Mettler-Toledo, LLC - MTI"/>
    <s v="MTMO-US"/>
    <s v="7291350"/>
    <s v="Software not capital"/>
    <s v="Service"/>
    <n v="163.9"/>
    <n v="98.97"/>
    <x v="10"/>
  </r>
  <r>
    <s v="Mettler-Toledo, LLC - MTI"/>
    <s v="MTMO-US"/>
    <s v="7291350"/>
    <s v="Software not capital"/>
    <s v="Marketing"/>
    <n v="2836.71"/>
    <n v="2892.41"/>
    <x v="10"/>
  </r>
  <r>
    <s v="Mettler-Toledo, LLC - MTI"/>
    <s v="MTMO-US"/>
    <s v="7291350"/>
    <s v="Software not capital"/>
    <s v="Promotion"/>
    <n v="192"/>
    <n v="136"/>
    <x v="10"/>
  </r>
  <r>
    <s v="Mettler-Toledo, LLC - MTI"/>
    <s v="MTMO-US"/>
    <s v="7291350"/>
    <s v="Software not capital"/>
    <s v="General &amp; Admin"/>
    <n v="6918.57"/>
    <n v="6073.19"/>
    <x v="10"/>
  </r>
  <r>
    <s v="Mettler-Toledo, LLC - MTI"/>
    <s v="MTMO-US"/>
    <s v="7291400"/>
    <s v="Office Equip not cap"/>
    <s v="Logistics&amp;Purch. Costs"/>
    <m/>
    <n v="21.49"/>
    <x v="10"/>
  </r>
  <r>
    <s v="Mettler-Toledo, LLC - MTI"/>
    <s v="MTMO-US"/>
    <s v="7291400"/>
    <s v="Office Equip not cap"/>
    <s v="Service"/>
    <n v="2088.8200000000002"/>
    <n v="-375.77"/>
    <x v="10"/>
  </r>
  <r>
    <s v="Mettler-Toledo, LLC - MTI"/>
    <s v="MTMO-US"/>
    <s v="7291400"/>
    <s v="Office Equip not cap"/>
    <s v="Marketing"/>
    <n v="2094.87"/>
    <n v="6358.98"/>
    <x v="10"/>
  </r>
  <r>
    <s v="Mettler-Toledo, LLC - MTI"/>
    <s v="MTMO-US"/>
    <s v="7291400"/>
    <s v="Office Equip not cap"/>
    <s v="General &amp; Admin"/>
    <m/>
    <m/>
    <x v="10"/>
  </r>
  <r>
    <s v="Mettler-Toledo, LLC - MTI"/>
    <s v="MTMO-US"/>
    <s v="7291900"/>
    <s v="Other Capex not Cap."/>
    <s v="Service"/>
    <n v="8804.4500000000007"/>
    <n v="-2766.07"/>
    <x v="10"/>
  </r>
  <r>
    <s v="Mettler-Toledo, LLC - MTI"/>
    <s v="MTMO-US"/>
    <s v="7291900"/>
    <s v="Other Capex not Cap."/>
    <s v="Marketing"/>
    <n v="-3734.53"/>
    <n v="-4187.5"/>
    <x v="10"/>
  </r>
  <r>
    <s v="Mettler-Toledo, LLC - MTI"/>
    <s v="MTMO-US"/>
    <s v="7291900"/>
    <s v="Other Capex not Cap."/>
    <s v="General &amp; Admin"/>
    <m/>
    <n v="0"/>
    <x v="10"/>
  </r>
  <r>
    <s v="Mettler-Toledo, LLC - MTI"/>
    <s v="MTMO-US"/>
    <s v="7292100"/>
    <s v="IC Alloc In IT In"/>
    <s v="General &amp; Admin"/>
    <m/>
    <m/>
    <x v="11"/>
  </r>
  <r>
    <s v="Mettler-Toledo, LLC - MTI"/>
    <s v="MTMO-US"/>
    <s v="7292110"/>
    <s v="IC Alloc In Admin"/>
    <s v="Service"/>
    <m/>
    <m/>
    <x v="11"/>
  </r>
  <r>
    <s v="Mettler-Toledo, LLC - MTI"/>
    <s v="MTMO-US"/>
    <s v="7292110"/>
    <s v="IC Alloc In Admin"/>
    <s v="Marketing"/>
    <m/>
    <m/>
    <x v="11"/>
  </r>
  <r>
    <s v="Mettler-Toledo, LLC - MTI"/>
    <s v="MTMO-US"/>
    <s v="7292140"/>
    <s v="IC Alloc In Mkt Sell"/>
    <s v="Logistics&amp;Purch. Costs"/>
    <n v="16203"/>
    <n v="16203"/>
    <x v="11"/>
  </r>
  <r>
    <s v="Mettler-Toledo, LLC - MTI"/>
    <s v="MTMO-US"/>
    <s v="7292140"/>
    <s v="IC Alloc In Mkt Sell"/>
    <s v="Service"/>
    <n v="54392.74"/>
    <n v="15878.63"/>
    <x v="11"/>
  </r>
  <r>
    <s v="Mettler-Toledo, LLC - MTI"/>
    <s v="MTMO-US"/>
    <s v="7292140"/>
    <s v="IC Alloc In Mkt Sell"/>
    <s v="Marketing"/>
    <n v="55649.34"/>
    <n v="35494.400000000001"/>
    <x v="11"/>
  </r>
  <r>
    <s v="Mettler-Toledo, LLC - MTI"/>
    <s v="MTMO-US"/>
    <s v="7292140"/>
    <s v="IC Alloc In Mkt Sell"/>
    <s v="General &amp; Admin"/>
    <n v="118015.25"/>
    <n v="114577.91"/>
    <x v="11"/>
  </r>
  <r>
    <s v="Mettler-Toledo, LLC - MTI"/>
    <s v="MTMO-US"/>
    <s v="7292490"/>
    <s v="IC Alloc In Others"/>
    <s v="Logistics&amp;Purch. Costs"/>
    <n v="4086"/>
    <n v="4086"/>
    <x v="11"/>
  </r>
  <r>
    <s v="Mettler-Toledo, LLC - MTI"/>
    <s v="MTMO-US"/>
    <s v="7292490"/>
    <s v="IC Alloc In Others"/>
    <s v="Service"/>
    <n v="41045.71"/>
    <n v="51136.29"/>
    <x v="11"/>
  </r>
  <r>
    <s v="Mettler-Toledo, LLC - MTI"/>
    <s v="MTMO-US"/>
    <s v="7292490"/>
    <s v="IC Alloc In Others"/>
    <s v="Marketing"/>
    <n v="12258"/>
    <n v="20430"/>
    <x v="11"/>
  </r>
  <r>
    <s v="Mettler-Toledo, LLC - MTI"/>
    <s v="MTMO-US"/>
    <s v="7292540"/>
    <s v="IC Alloc Out Admin"/>
    <s v="Logistics&amp;Purch. Costs"/>
    <n v="-31730.29"/>
    <n v="-25940.42"/>
    <x v="11"/>
  </r>
  <r>
    <s v="Mettler-Toledo, LLC - MTI"/>
    <s v="MTMO-US"/>
    <s v="7292540"/>
    <s v="IC Alloc Out Admin"/>
    <s v="Service"/>
    <n v="-8666.65"/>
    <n v="-112247.67999999999"/>
    <x v="11"/>
  </r>
  <r>
    <s v="Mettler-Toledo, LLC - MTI"/>
    <s v="MTMO-US"/>
    <s v="7292540"/>
    <s v="IC Alloc Out Admin"/>
    <s v="Marketing"/>
    <n v="-8557.92"/>
    <n v="-7390.18"/>
    <x v="11"/>
  </r>
  <r>
    <s v="Mettler-Toledo, LLC - MTI"/>
    <s v="MTMO-US"/>
    <s v="7292540"/>
    <s v="IC Alloc Out Admin"/>
    <s v="General &amp; Admin"/>
    <n v="-43562.58"/>
    <n v="-29505.86"/>
    <x v="11"/>
  </r>
  <r>
    <s v="Mettler-Toledo, LLC - MTI"/>
    <s v="MTMO-US"/>
    <s v="7292550"/>
    <s v="IC Alloc Out MktSell"/>
    <s v="Marketing"/>
    <n v="-57897.99"/>
    <n v="-62180.34"/>
    <x v="11"/>
  </r>
  <r>
    <s v="Mettler-Toledo, LLC - MTI"/>
    <s v="MTMO-US"/>
    <s v="7292560"/>
    <s v="IC Alloc Out GrpFunc"/>
    <s v="Service"/>
    <m/>
    <m/>
    <x v="11"/>
  </r>
  <r>
    <s v="Mettler-Toledo, LLC - MTI"/>
    <s v="MTMO-US"/>
    <s v="7292560"/>
    <s v="IC Alloc Out GrpFunc"/>
    <s v="Marketing"/>
    <n v="0"/>
    <m/>
    <x v="11"/>
  </r>
  <r>
    <s v="Mettler-Toledo, LLC - MTI"/>
    <s v="MTMO-US"/>
    <s v="7292560"/>
    <s v="IC Alloc Out GrpFunc"/>
    <s v="General &amp; Admin"/>
    <m/>
    <m/>
    <x v="11"/>
  </r>
  <r>
    <s v="Mettler-Toledo, LLC - MTI"/>
    <s v="MTMO-US"/>
    <s v="7292990"/>
    <s v="IC Alloc Out Others"/>
    <s v="Logistics&amp;Purch. Costs"/>
    <m/>
    <n v="0"/>
    <x v="11"/>
  </r>
  <r>
    <s v="Mettler-Toledo, LLC - MTI"/>
    <s v="MTMO-US"/>
    <s v="7292990"/>
    <s v="IC Alloc Out Others"/>
    <s v="Service"/>
    <n v="7193"/>
    <n v="10959.81"/>
    <x v="11"/>
  </r>
  <r>
    <s v="Mettler-Toledo, LLC - MTI"/>
    <s v="MTMO-US"/>
    <s v="7292990"/>
    <s v="IC Alloc Out Others"/>
    <s v="Marketing"/>
    <n v="8700.6200000000008"/>
    <n v="1171.1400000000001"/>
    <x v="11"/>
  </r>
  <r>
    <s v="Mettler-Toledo, LLC - MTI"/>
    <s v="MTMO-US"/>
    <s v="7292990"/>
    <s v="IC Alloc Out Others"/>
    <s v="General &amp; Admin"/>
    <n v="70820.820000000007"/>
    <n v="56011.65"/>
    <x v="11"/>
  </r>
  <r>
    <s v="Mettler-Toledo, LLC - MTI"/>
    <s v="MTMO-US"/>
    <s v="7299010"/>
    <s v="Books &amp; Periodicals"/>
    <s v="Logistics&amp;Purch. Costs"/>
    <n v="-71.069999999999993"/>
    <n v="-106.19"/>
    <x v="12"/>
  </r>
  <r>
    <s v="Mettler-Toledo, LLC - MTI"/>
    <s v="MTMO-US"/>
    <s v="7299010"/>
    <s v="Books &amp; Periodicals"/>
    <s v="Service"/>
    <n v="5875.51"/>
    <n v="1240.1300000000001"/>
    <x v="12"/>
  </r>
  <r>
    <s v="Mettler-Toledo, LLC - MTI"/>
    <s v="MTMO-US"/>
    <s v="7299010"/>
    <s v="Books &amp; Periodicals"/>
    <s v="Marketing"/>
    <n v="3611.52"/>
    <n v="-340.1"/>
    <x v="12"/>
  </r>
  <r>
    <s v="Mettler-Toledo, LLC - MTI"/>
    <s v="MTMO-US"/>
    <s v="7299010"/>
    <s v="Books &amp; Periodicals"/>
    <s v="General &amp; Admin"/>
    <n v="142.16999999999999"/>
    <n v="1410.32"/>
    <x v="12"/>
  </r>
  <r>
    <s v="Mettler-Toledo, LLC - MTI"/>
    <s v="MTMO-US"/>
    <s v="7299030"/>
    <s v="Misc Ship/Postage"/>
    <s v="Logistics&amp;Purch. Costs"/>
    <n v="20"/>
    <m/>
    <x v="12"/>
  </r>
  <r>
    <s v="Mettler-Toledo, LLC - MTI"/>
    <s v="MTMO-US"/>
    <s v="7299030"/>
    <s v="Misc Ship/Postage"/>
    <s v="Service"/>
    <n v="1818.97"/>
    <n v="3734.56"/>
    <x v="12"/>
  </r>
  <r>
    <s v="Mettler-Toledo, LLC - MTI"/>
    <s v="MTMO-US"/>
    <s v="7299030"/>
    <s v="Misc Ship/Postage"/>
    <s v="Marketing"/>
    <n v="626.08000000000004"/>
    <n v="543.39"/>
    <x v="12"/>
  </r>
  <r>
    <s v="Mettler-Toledo, LLC - MTI"/>
    <s v="MTMO-US"/>
    <s v="7299030"/>
    <s v="Misc Ship/Postage"/>
    <s v="Promotion"/>
    <m/>
    <m/>
    <x v="12"/>
  </r>
  <r>
    <s v="Mettler-Toledo, LLC - MTI"/>
    <s v="MTMO-US"/>
    <s v="7299030"/>
    <s v="Misc Ship/Postage"/>
    <s v="General &amp; Admin"/>
    <n v="1194.6500000000001"/>
    <n v="441.15"/>
    <x v="12"/>
  </r>
  <r>
    <s v="Mettler-Toledo, LLC - MTI"/>
    <s v="MTMO-US"/>
    <s v="7299040"/>
    <s v="Office Supplies"/>
    <s v="Logistics&amp;Purch. Costs"/>
    <n v="-24.7"/>
    <n v="50.24"/>
    <x v="12"/>
  </r>
  <r>
    <s v="Mettler-Toledo, LLC - MTI"/>
    <s v="MTMO-US"/>
    <s v="7299040"/>
    <s v="Office Supplies"/>
    <s v="Service"/>
    <n v="55248.4"/>
    <n v="10767.59"/>
    <x v="12"/>
  </r>
  <r>
    <s v="Mettler-Toledo, LLC - MTI"/>
    <s v="MTMO-US"/>
    <s v="7299040"/>
    <s v="Office Supplies"/>
    <s v="Marketing"/>
    <n v="59111.74"/>
    <n v="9418.1299999999992"/>
    <x v="12"/>
  </r>
  <r>
    <s v="Mettler-Toledo, LLC - MTI"/>
    <s v="MTMO-US"/>
    <s v="7299040"/>
    <s v="Office Supplies"/>
    <s v="General &amp; Admin"/>
    <n v="1003.61"/>
    <n v="761.24"/>
    <x v="12"/>
  </r>
  <r>
    <s v="Mettler-Toledo, LLC - MTI"/>
    <s v="MTMO-US"/>
    <s v="7299050"/>
    <s v="Non Office Equipment"/>
    <s v="Service"/>
    <n v="360.13"/>
    <n v="1995.68"/>
    <x v="12"/>
  </r>
  <r>
    <s v="Mettler-Toledo, LLC - MTI"/>
    <s v="MTMO-US"/>
    <s v="7299050"/>
    <s v="Non Office Equipment"/>
    <s v="Marketing"/>
    <n v="7.51"/>
    <n v="1063.5899999999999"/>
    <x v="12"/>
  </r>
  <r>
    <s v="Mettler-Toledo, LLC - MTI"/>
    <s v="MTMO-US"/>
    <s v="7299050"/>
    <s v="Non Office Equipment"/>
    <s v="General &amp; Admin"/>
    <m/>
    <n v="123.6"/>
    <x v="12"/>
  </r>
  <r>
    <s v="Mettler-Toledo, LLC - MTI"/>
    <s v="MTMO-US"/>
    <s v="7299070"/>
    <s v="Record Retention"/>
    <s v="General &amp; Admin"/>
    <n v="3007.6"/>
    <n v="5104.16"/>
    <x v="12"/>
  </r>
  <r>
    <s v="Mettler-Toledo, LLC - MTI"/>
    <s v="MTMO-US"/>
    <s v="7299080"/>
    <s v="Weights&amp;Measures Exp"/>
    <s v="Service"/>
    <n v="14720.16"/>
    <n v="10573.32"/>
    <x v="12"/>
  </r>
  <r>
    <s v="Mettler-Toledo, LLC - MTI"/>
    <s v="MTMO-US"/>
    <s v="7299080"/>
    <s v="Weights&amp;Measures Exp"/>
    <s v="Marketing"/>
    <m/>
    <m/>
    <x v="12"/>
  </r>
  <r>
    <s v="Mettler-Toledo, LLC - MTI"/>
    <s v="MTMO-US"/>
    <s v="7299080"/>
    <s v="Weights&amp;Measures Exp"/>
    <s v="General &amp; Admin"/>
    <m/>
    <m/>
    <x v="12"/>
  </r>
  <r>
    <s v="Mettler-Toledo, LLC - MTI"/>
    <s v="MTMO-US"/>
    <s v="7299100"/>
    <s v="Product/Liab. Ins."/>
    <s v="General &amp; Admin"/>
    <n v="55253.33"/>
    <n v="22483.33"/>
    <x v="12"/>
  </r>
  <r>
    <s v="Mettler-Toledo, LLC - MTI"/>
    <s v="MTMO-US"/>
    <s v="7299210"/>
    <s v="Charitable Donations"/>
    <s v="Service"/>
    <n v="148.6"/>
    <n v="132.91999999999999"/>
    <x v="12"/>
  </r>
  <r>
    <s v="Mettler-Toledo, LLC - MTI"/>
    <s v="MTMO-US"/>
    <s v="7299210"/>
    <s v="Charitable Donations"/>
    <s v="Marketing"/>
    <n v="5561.9"/>
    <n v="2743.55"/>
    <x v="12"/>
  </r>
  <r>
    <s v="Mettler-Toledo, LLC - MTI"/>
    <s v="MTMO-US"/>
    <s v="7299210"/>
    <s v="Charitable Donations"/>
    <s v="Promotion"/>
    <m/>
    <m/>
    <x v="12"/>
  </r>
  <r>
    <s v="Mettler-Toledo, LLC - MTI"/>
    <s v="MTMO-US"/>
    <s v="7299210"/>
    <s v="Charitable Donations"/>
    <s v="General &amp; Admin"/>
    <m/>
    <m/>
    <x v="12"/>
  </r>
  <r>
    <s v="Mettler-Toledo, LLC - MTI"/>
    <s v="MTMO-US"/>
    <s v="7299230"/>
    <s v="Shop Supplies"/>
    <s v="Service"/>
    <n v="14992.17"/>
    <n v="31366.5"/>
    <x v="12"/>
  </r>
  <r>
    <s v="Mettler-Toledo, LLC - MTI"/>
    <s v="MTMO-US"/>
    <s v="7299230"/>
    <s v="Shop Supplies"/>
    <s v="Marketing"/>
    <n v="568.82000000000005"/>
    <n v="1492.04"/>
    <x v="12"/>
  </r>
  <r>
    <s v="Mettler-Toledo, LLC - MTI"/>
    <s v="MTMO-US"/>
    <s v="7299230"/>
    <s v="Shop Supplies"/>
    <s v="General &amp; Admin"/>
    <m/>
    <n v="0"/>
    <x v="12"/>
  </r>
  <r>
    <s v="Mettler-Toledo, LLC - MTI"/>
    <s v="MTMO-US"/>
    <s v="7299250"/>
    <s v="Uniforms"/>
    <s v="Logistics&amp;Purch. Costs"/>
    <m/>
    <m/>
    <x v="12"/>
  </r>
  <r>
    <s v="Mettler-Toledo, LLC - MTI"/>
    <s v="MTMO-US"/>
    <s v="7299250"/>
    <s v="Uniforms"/>
    <s v="Service"/>
    <n v="23680.53"/>
    <n v="13469.98"/>
    <x v="12"/>
  </r>
  <r>
    <s v="Mettler-Toledo, LLC - MTI"/>
    <s v="MTMO-US"/>
    <s v="7299250"/>
    <s v="Uniforms"/>
    <s v="Marketing"/>
    <n v="1310.4100000000001"/>
    <n v="952.13"/>
    <x v="12"/>
  </r>
  <r>
    <s v="Mettler-Toledo, LLC - MTI"/>
    <s v="MTMO-US"/>
    <s v="7299250"/>
    <s v="Uniforms"/>
    <s v="General &amp; Admin"/>
    <m/>
    <m/>
    <x v="12"/>
  </r>
  <r>
    <s v="Mettler-Toledo, LLC - MTI"/>
    <s v="MTMO-US"/>
    <s v="7299260"/>
    <s v="Membership Fees"/>
    <s v="Service"/>
    <n v="10145.44"/>
    <n v="12915.43"/>
    <x v="12"/>
  </r>
  <r>
    <s v="Mettler-Toledo, LLC - MTI"/>
    <s v="MTMO-US"/>
    <s v="7299260"/>
    <s v="Membership Fees"/>
    <s v="Marketing"/>
    <n v="3769.97"/>
    <n v="4891.1499999999996"/>
    <x v="12"/>
  </r>
  <r>
    <s v="Mettler-Toledo, LLC - MTI"/>
    <s v="MTMO-US"/>
    <s v="7299260"/>
    <s v="Membership Fees"/>
    <s v="Promotion"/>
    <n v="241.67"/>
    <m/>
    <x v="12"/>
  </r>
  <r>
    <s v="Mettler-Toledo, LLC - MTI"/>
    <s v="MTMO-US"/>
    <s v="7299260"/>
    <s v="Membership Fees"/>
    <s v="General &amp; Admin"/>
    <n v="570"/>
    <n v="2853.34"/>
    <x v="12"/>
  </r>
  <r>
    <s v="Mettler-Toledo, LLC - MTI"/>
    <s v="MTMO-US"/>
    <s v="7299270"/>
    <s v="Rented Equipment"/>
    <s v="Service"/>
    <n v="0"/>
    <n v="0"/>
    <x v="12"/>
  </r>
  <r>
    <s v="Mettler-Toledo, LLC - MTI"/>
    <s v="MTMO-US"/>
    <s v="7299273"/>
    <s v="LseNotCap-OthEqExp"/>
    <s v="Service"/>
    <n v="0"/>
    <n v="0"/>
    <x v="12"/>
  </r>
  <r>
    <s v="Mettler-Toledo, LLC - MTI"/>
    <s v="MTMO-US"/>
    <s v="7299273"/>
    <s v="LseNotCap-OthEqExp"/>
    <s v="Marketing"/>
    <n v="1347.78"/>
    <n v="1758.55"/>
    <x v="12"/>
  </r>
  <r>
    <s v="Mettler-Toledo, LLC - MTI"/>
    <s v="MTMO-US"/>
    <s v="7299300"/>
    <s v="Invent'y Consump. CC"/>
    <s v="Service"/>
    <m/>
    <n v="0"/>
    <x v="12"/>
  </r>
  <r>
    <s v="Mettler-Toledo, LLC - MTI"/>
    <s v="MTMO-US"/>
    <s v="7299300"/>
    <s v="Invent'y Consump. CC"/>
    <s v="Marketing"/>
    <n v="0"/>
    <n v="0"/>
    <x v="12"/>
  </r>
  <r>
    <s v="Mettler-Toledo, LLC - MTI"/>
    <s v="MTMO-US"/>
    <s v="7299400"/>
    <s v="Restocking Inc/Exp"/>
    <s v="Marketing"/>
    <n v="1080"/>
    <n v="1050"/>
    <x v="12"/>
  </r>
  <r>
    <s v="Mettler-Toledo, LLC - MTI"/>
    <s v="MTMO-US"/>
    <s v="7299520"/>
    <s v="Sales and Use Tax"/>
    <s v="Service"/>
    <n v="124.05"/>
    <n v="230.94"/>
    <x v="12"/>
  </r>
  <r>
    <s v="Mettler-Toledo, LLC - MTI"/>
    <s v="MTMO-US"/>
    <s v="7299520"/>
    <s v="Sales and Use Tax"/>
    <s v="Marketing"/>
    <n v="-5306.54"/>
    <m/>
    <x v="12"/>
  </r>
  <r>
    <s v="Mettler-Toledo, LLC - MTI"/>
    <s v="MTMO-US"/>
    <s v="7299520"/>
    <s v="Sales and Use Tax"/>
    <s v="General &amp; Admin"/>
    <m/>
    <n v="135.03"/>
    <x v="12"/>
  </r>
  <r>
    <s v="Mettler-Toledo, LLC - MTI"/>
    <s v="MTMO-US"/>
    <s v="7299530"/>
    <s v="Other Taxes and Fees"/>
    <s v="Service"/>
    <n v="96.41"/>
    <n v="427.07"/>
    <x v="12"/>
  </r>
  <r>
    <s v="Mettler-Toledo, LLC - MTI"/>
    <s v="MTMO-US"/>
    <s v="7299530"/>
    <s v="Other Taxes and Fees"/>
    <s v="Marketing"/>
    <n v="3897.52"/>
    <n v="4536.12"/>
    <x v="12"/>
  </r>
  <r>
    <s v="Mettler-Toledo, LLC - MTI"/>
    <s v="MTMO-US"/>
    <s v="7299530"/>
    <s v="Other Taxes and Fees"/>
    <s v="General &amp; Admin"/>
    <n v="7906.96"/>
    <n v="9922.8700000000008"/>
    <x v="12"/>
  </r>
  <r>
    <s v="Mettler-Toledo, LLC - MTI"/>
    <s v="MTMO-US"/>
    <s v="7299800"/>
    <s v="AP Discounts Receivd"/>
    <s v="General &amp; Admin"/>
    <n v="-77.069999999999993"/>
    <n v="-441.81"/>
    <x v="12"/>
  </r>
  <r>
    <s v="Mettler-Toledo, LLC - MTI"/>
    <s v="MTMO-US"/>
    <s v="7299900"/>
    <s v="Other Misc Expense"/>
    <s v="Logistics&amp;Purch. Costs"/>
    <n v="113.73"/>
    <n v="41.32"/>
    <x v="12"/>
  </r>
  <r>
    <s v="Mettler-Toledo, LLC - MTI"/>
    <s v="MTMO-US"/>
    <s v="7299900"/>
    <s v="Other Misc Expense"/>
    <s v="Service"/>
    <n v="-27345.08"/>
    <n v="-95702.73"/>
    <x v="12"/>
  </r>
  <r>
    <s v="Mettler-Toledo, LLC - MTI"/>
    <s v="MTMO-US"/>
    <s v="7299900"/>
    <s v="Other Misc Expense"/>
    <s v="Marketing"/>
    <n v="25495.53"/>
    <n v="21276.22"/>
    <x v="12"/>
  </r>
  <r>
    <s v="Mettler-Toledo, LLC - MTI"/>
    <s v="MTMO-US"/>
    <s v="7299900"/>
    <s v="Other Misc Expense"/>
    <s v="Promotion"/>
    <m/>
    <m/>
    <x v="12"/>
  </r>
  <r>
    <s v="Mettler-Toledo, LLC - MTI"/>
    <s v="MTMO-US"/>
    <s v="7299900"/>
    <s v="Other Misc Expense"/>
    <s v="General &amp; Admin"/>
    <n v="1471.63"/>
    <n v="-60279.57"/>
    <x v="12"/>
  </r>
  <r>
    <s v="Mettler-Toledo, LLC - MTI"/>
    <s v="MTMO-US"/>
    <s v="7299950"/>
    <s v="Capitalized Costs"/>
    <s v="Service"/>
    <m/>
    <m/>
    <x v="12"/>
  </r>
  <r>
    <s v="Mettler-Toledo, LLC - MTI"/>
    <s v="MTMO-US"/>
    <s v="7300050"/>
    <s v="Depr. Building"/>
    <s v="General &amp; Admin"/>
    <n v="1517.17"/>
    <n v="1565.95"/>
    <x v="13"/>
  </r>
  <r>
    <s v="Mettler-Toledo, LLC - MTI"/>
    <s v="MTMO-US"/>
    <s v="7300100"/>
    <s v="Depr. Equipm.Trans"/>
    <s v="Service"/>
    <n v="39757.26"/>
    <n v="37123.06"/>
    <x v="13"/>
  </r>
  <r>
    <s v="Mettler-Toledo, LLC - MTI"/>
    <s v="MTMO-US"/>
    <s v="7300100"/>
    <s v="Depr. Equipm.Trans"/>
    <s v="Marketing"/>
    <n v="1756.92"/>
    <n v="1991.93"/>
    <x v="13"/>
  </r>
  <r>
    <s v="Mettler-Toledo, LLC - MTI"/>
    <s v="MTMO-US"/>
    <s v="7300110"/>
    <s v="Depr. Equipm. Mach."/>
    <s v="Service"/>
    <n v="8607.7999999999993"/>
    <n v="8174.94"/>
    <x v="13"/>
  </r>
  <r>
    <s v="Mettler-Toledo, LLC - MTI"/>
    <s v="MTMO-US"/>
    <s v="7300110"/>
    <s v="Depr. Equipm. Mach."/>
    <s v="Marketing"/>
    <n v="50.79"/>
    <n v="50.79"/>
    <x v="13"/>
  </r>
  <r>
    <s v="Mettler-Toledo, LLC - MTI"/>
    <s v="MTMO-US"/>
    <s v="7300120"/>
    <s v="Depr. Equipm.IT&amp;Tele"/>
    <s v="Service"/>
    <m/>
    <n v="176.96"/>
    <x v="13"/>
  </r>
  <r>
    <s v="Mettler-Toledo, LLC - MTI"/>
    <s v="MTMO-US"/>
    <s v="7300120"/>
    <s v="Depr. Equipm.IT&amp;Tele"/>
    <s v="General &amp; Admin"/>
    <n v="7336.69"/>
    <n v="15233.7"/>
    <x v="13"/>
  </r>
  <r>
    <s v="Mettler-Toledo, LLC - MTI"/>
    <s v="MTMO-US"/>
    <s v="7300130"/>
    <s v="Depr. Equipm.Other"/>
    <s v="Logistics&amp;Purch. Costs"/>
    <n v="95.76"/>
    <n v="95.76"/>
    <x v="13"/>
  </r>
  <r>
    <s v="Mettler-Toledo, LLC - MTI"/>
    <s v="MTMO-US"/>
    <s v="7300130"/>
    <s v="Depr. Equipm.Other"/>
    <s v="Service"/>
    <n v="5809.54"/>
    <n v="6289.6"/>
    <x v="13"/>
  </r>
  <r>
    <s v="Mettler-Toledo, LLC - MTI"/>
    <s v="MTMO-US"/>
    <s v="7300130"/>
    <s v="Depr. Equipm.Other"/>
    <s v="Marketing"/>
    <n v="539.83000000000004"/>
    <n v="539.83000000000004"/>
    <x v="13"/>
  </r>
  <r>
    <s v="Mettler-Toledo, LLC - MTI"/>
    <s v="MTMO-US"/>
    <s v="7300130"/>
    <s v="Depr. Equipm.Other"/>
    <s v="General &amp; Admin"/>
    <n v="7267.11"/>
    <n v="7267.11"/>
    <x v="13"/>
  </r>
  <r>
    <s v="Mettler-Toledo, LLC - MTI"/>
    <s v="MTMO-US"/>
    <s v="7300140"/>
    <s v="Depr. Equipm.Rental"/>
    <s v="Service"/>
    <n v="690.75"/>
    <n v="726.22"/>
    <x v="13"/>
  </r>
  <r>
    <s v="Mettler-Toledo, LLC - MTI"/>
    <s v="MTMO-US"/>
    <s v="7300140"/>
    <s v="Depr. Equipm.Rental"/>
    <s v="Marketing"/>
    <n v="1172.46"/>
    <n v="1172.46"/>
    <x v="13"/>
  </r>
  <r>
    <s v="Mettler-Toledo, LLC - MTI"/>
    <s v="MTMO-US"/>
    <s v="7100050"/>
    <s v="Sal. perm. employee"/>
    <s v="Logistics&amp;Purch. Costs"/>
    <n v="106318.06"/>
    <n v="97188.65"/>
    <x v="14"/>
  </r>
  <r>
    <s v="Mettler-Toledo, LLC - MTI"/>
    <s v="MTMO-US"/>
    <s v="7100050"/>
    <s v="Sal. perm. employee"/>
    <s v="Service"/>
    <n v="3524643.14"/>
    <n v="3424988.61"/>
    <x v="14"/>
  </r>
  <r>
    <s v="Mettler-Toledo, LLC - MTI"/>
    <s v="MTMO-US"/>
    <s v="7100050"/>
    <s v="Sal. perm. employee"/>
    <s v="Marketing"/>
    <n v="3264889.3"/>
    <n v="2962706.03"/>
    <x v="14"/>
  </r>
  <r>
    <s v="Mettler-Toledo, LLC - MTI"/>
    <s v="MTMO-US"/>
    <s v="7100050"/>
    <s v="Sal. perm. employee"/>
    <s v="General &amp; Admin"/>
    <n v="319436.12"/>
    <n v="319711.24"/>
    <x v="14"/>
  </r>
  <r>
    <s v="Mettler-Toledo, LLC - MTI"/>
    <s v="MTMO-US"/>
    <s v="7100150"/>
    <s v="OT (w/o surcharge)"/>
    <s v="Logistics&amp;Purch. Costs"/>
    <n v="76.97"/>
    <n v="44.41"/>
    <x v="14"/>
  </r>
  <r>
    <s v="Mettler-Toledo, LLC - MTI"/>
    <s v="MTMO-US"/>
    <s v="7100150"/>
    <s v="OT (w/o surcharge)"/>
    <s v="Service"/>
    <n v="448625.82"/>
    <n v="387746.91"/>
    <x v="14"/>
  </r>
  <r>
    <s v="Mettler-Toledo, LLC - MTI"/>
    <s v="MTMO-US"/>
    <s v="7100150"/>
    <s v="OT (w/o surcharge)"/>
    <s v="Marketing"/>
    <n v="9173.36"/>
    <n v="8213.83"/>
    <x v="14"/>
  </r>
  <r>
    <s v="Mettler-Toledo, LLC - MTI"/>
    <s v="MTMO-US"/>
    <s v="7100150"/>
    <s v="OT (w/o surcharge)"/>
    <s v="General &amp; Admin"/>
    <n v="1024.8900000000001"/>
    <n v="1611.57"/>
    <x v="14"/>
  </r>
  <r>
    <s v="Mettler-Toledo, LLC - MTI"/>
    <s v="MTMO-US"/>
    <s v="7100900"/>
    <s v="Other Base Comp"/>
    <s v="Logistics&amp;Purch. Costs"/>
    <n v="325.98"/>
    <n v="325.98"/>
    <x v="14"/>
  </r>
  <r>
    <s v="Mettler-Toledo, LLC - MTI"/>
    <s v="MTMO-US"/>
    <s v="7100900"/>
    <s v="Other Base Comp"/>
    <s v="Service"/>
    <n v="2866.97"/>
    <n v="31140"/>
    <x v="14"/>
  </r>
  <r>
    <s v="Mettler-Toledo, LLC - MTI"/>
    <s v="MTMO-US"/>
    <s v="7100900"/>
    <s v="Other Base Comp"/>
    <s v="Marketing"/>
    <n v="3527.54"/>
    <n v="4847.88"/>
    <x v="14"/>
  </r>
  <r>
    <s v="Mettler-Toledo, LLC - MTI"/>
    <s v="MTMO-US"/>
    <s v="7100900"/>
    <s v="Other Base Comp"/>
    <s v="General &amp; Admin"/>
    <n v="725"/>
    <n v="725"/>
    <x v="14"/>
  </r>
  <r>
    <s v="Mettler-Toledo, LLC - MTI"/>
    <s v="MTMO-US"/>
    <s v="7110050"/>
    <s v="Absence/Vacation Exp"/>
    <s v="Marketing"/>
    <m/>
    <m/>
    <x v="15"/>
  </r>
  <r>
    <s v="Mettler-Toledo, LLC - MTI"/>
    <s v="MTMO-US"/>
    <s v="7110150"/>
    <s v="Social Security"/>
    <s v="Logistics&amp;Purch. Costs"/>
    <n v="7826.23"/>
    <n v="7052.67"/>
    <x v="15"/>
  </r>
  <r>
    <s v="Mettler-Toledo, LLC - MTI"/>
    <s v="MTMO-US"/>
    <s v="7110150"/>
    <s v="Social Security"/>
    <s v="Service"/>
    <n v="313538.87"/>
    <n v="298948.03000000003"/>
    <x v="15"/>
  </r>
  <r>
    <s v="Mettler-Toledo, LLC - MTI"/>
    <s v="MTMO-US"/>
    <s v="7110150"/>
    <s v="Social Security"/>
    <s v="Marketing"/>
    <n v="282656.38"/>
    <n v="271108.21000000002"/>
    <x v="15"/>
  </r>
  <r>
    <s v="Mettler-Toledo, LLC - MTI"/>
    <s v="MTMO-US"/>
    <s v="7110150"/>
    <s v="Social Security"/>
    <s v="General &amp; Admin"/>
    <n v="21750.21"/>
    <n v="21999.93"/>
    <x v="15"/>
  </r>
  <r>
    <s v="Mettler-Toledo, LLC - MTI"/>
    <s v="MTMO-US"/>
    <s v="7110200"/>
    <s v="Pension (401k/PK)"/>
    <s v="Logistics&amp;Purch. Costs"/>
    <n v="3772.32"/>
    <n v="3564.12"/>
    <x v="15"/>
  </r>
  <r>
    <s v="Mettler-Toledo, LLC - MTI"/>
    <s v="MTMO-US"/>
    <s v="7110200"/>
    <s v="Pension (401k/PK)"/>
    <s v="Service"/>
    <n v="211629.65"/>
    <n v="211701.52"/>
    <x v="15"/>
  </r>
  <r>
    <s v="Mettler-Toledo, LLC - MTI"/>
    <s v="MTMO-US"/>
    <s v="7110200"/>
    <s v="Pension (401k/PK)"/>
    <s v="Marketing"/>
    <n v="208764.31"/>
    <n v="203465.76"/>
    <x v="15"/>
  </r>
  <r>
    <s v="Mettler-Toledo, LLC - MTI"/>
    <s v="MTMO-US"/>
    <s v="7110200"/>
    <s v="Pension (401k/PK)"/>
    <s v="General &amp; Admin"/>
    <n v="13230.39"/>
    <n v="13366.38"/>
    <x v="15"/>
  </r>
  <r>
    <s v="Mettler-Toledo, LLC - MTI"/>
    <s v="MTMO-US"/>
    <s v="7110300"/>
    <s v="Medical Insurance"/>
    <s v="Logistics&amp;Purch. Costs"/>
    <n v="12551.86"/>
    <n v="11236.33"/>
    <x v="15"/>
  </r>
  <r>
    <s v="Mettler-Toledo, LLC - MTI"/>
    <s v="MTMO-US"/>
    <s v="7110300"/>
    <s v="Medical Insurance"/>
    <s v="Service"/>
    <n v="501111.4"/>
    <n v="478883.51"/>
    <x v="15"/>
  </r>
  <r>
    <s v="Mettler-Toledo, LLC - MTI"/>
    <s v="MTMO-US"/>
    <s v="7110300"/>
    <s v="Medical Insurance"/>
    <s v="Marketing"/>
    <n v="374068.49"/>
    <n v="340363.75"/>
    <x v="15"/>
  </r>
  <r>
    <s v="Mettler-Toledo, LLC - MTI"/>
    <s v="MTMO-US"/>
    <s v="7110300"/>
    <s v="Medical Insurance"/>
    <s v="General &amp; Admin"/>
    <n v="38002.68"/>
    <n v="37526.1"/>
    <x v="15"/>
  </r>
  <r>
    <s v="Mettler-Toledo, LLC - MTI"/>
    <s v="MTMO-US"/>
    <s v="7110350"/>
    <s v="Unemployment Premium"/>
    <s v="Logistics&amp;Purch. Costs"/>
    <m/>
    <m/>
    <x v="15"/>
  </r>
  <r>
    <s v="Mettler-Toledo, LLC - MTI"/>
    <s v="MTMO-US"/>
    <s v="7110350"/>
    <s v="Unemployment Premium"/>
    <s v="Service"/>
    <n v="2488.77"/>
    <n v="1794.42"/>
    <x v="15"/>
  </r>
  <r>
    <s v="Mettler-Toledo, LLC - MTI"/>
    <s v="MTMO-US"/>
    <s v="7110350"/>
    <s v="Unemployment Premium"/>
    <s v="Marketing"/>
    <n v="604.04999999999995"/>
    <n v="124.15"/>
    <x v="15"/>
  </r>
  <r>
    <s v="Mettler-Toledo, LLC - MTI"/>
    <s v="MTMO-US"/>
    <s v="7110350"/>
    <s v="Unemployment Premium"/>
    <s v="General &amp; Admin"/>
    <n v="39.369999999999997"/>
    <n v="111.69"/>
    <x v="15"/>
  </r>
  <r>
    <s v="Mettler-Toledo, LLC - MTI"/>
    <s v="MTMO-US"/>
    <s v="7110460"/>
    <s v="Worker's Comp"/>
    <s v="Logistics&amp;Purch. Costs"/>
    <n v="1288.45"/>
    <n v="386.04"/>
    <x v="15"/>
  </r>
  <r>
    <s v="Mettler-Toledo, LLC - MTI"/>
    <s v="MTMO-US"/>
    <s v="7110460"/>
    <s v="Worker's Comp"/>
    <s v="Service"/>
    <n v="55091.28"/>
    <n v="17918.689999999999"/>
    <x v="15"/>
  </r>
  <r>
    <s v="Mettler-Toledo, LLC - MTI"/>
    <s v="MTMO-US"/>
    <s v="7110460"/>
    <s v="Worker's Comp"/>
    <s v="Marketing"/>
    <n v="41185.480000000003"/>
    <n v="12234.07"/>
    <x v="15"/>
  </r>
  <r>
    <s v="Mettler-Toledo, LLC - MTI"/>
    <s v="MTMO-US"/>
    <s v="7110460"/>
    <s v="Worker's Comp"/>
    <s v="General &amp; Admin"/>
    <n v="4162.7"/>
    <n v="1383.31"/>
    <x v="15"/>
  </r>
  <r>
    <s v="Mettler-Toledo, LLC - MTI"/>
    <s v="MTMO-US"/>
    <s v="7110900"/>
    <s v="Other Social Costs"/>
    <s v="Service"/>
    <n v="1302.42"/>
    <n v="1121.51"/>
    <x v="15"/>
  </r>
  <r>
    <s v="Mettler-Toledo, LLC - MTI"/>
    <s v="MTMO-US"/>
    <s v="7110900"/>
    <s v="Other Social Costs"/>
    <s v="Marketing"/>
    <n v="796.81"/>
    <n v="836.5"/>
    <x v="15"/>
  </r>
  <r>
    <s v="Mettler-Toledo, LLC - MTI"/>
    <s v="MTMO-US"/>
    <s v="7110900"/>
    <s v="Other Social Costs"/>
    <s v="General &amp; Admin"/>
    <m/>
    <n v="0"/>
    <x v="15"/>
  </r>
  <r>
    <s v="Mettler-Toledo, LLC - MTI"/>
    <s v="MTMO-US"/>
    <s v="7120050"/>
    <s v="Empl. training exp."/>
    <s v="Logistics&amp;Purch. Costs"/>
    <m/>
    <m/>
    <x v="16"/>
  </r>
  <r>
    <s v="Mettler-Toledo, LLC - MTI"/>
    <s v="MTMO-US"/>
    <s v="7120050"/>
    <s v="Empl. training exp."/>
    <s v="Service"/>
    <n v="4193.05"/>
    <n v="3604.45"/>
    <x v="16"/>
  </r>
  <r>
    <s v="Mettler-Toledo, LLC - MTI"/>
    <s v="MTMO-US"/>
    <s v="7120050"/>
    <s v="Empl. training exp."/>
    <s v="Marketing"/>
    <n v="12636.73"/>
    <n v="10040.76"/>
    <x v="16"/>
  </r>
  <r>
    <s v="Mettler-Toledo, LLC - MTI"/>
    <s v="MTMO-US"/>
    <s v="7120050"/>
    <s v="Empl. training exp."/>
    <s v="General &amp; Admin"/>
    <n v="1655"/>
    <n v="457.55"/>
    <x v="16"/>
  </r>
  <r>
    <s v="Mettler-Toledo, LLC - MTI"/>
    <s v="MTMO-US"/>
    <s v="7120200"/>
    <s v="Travel/Auto Allow'ce"/>
    <s v="Service"/>
    <n v="164.5"/>
    <n v="820.27"/>
    <x v="16"/>
  </r>
  <r>
    <s v="Mettler-Toledo, LLC - MTI"/>
    <s v="MTMO-US"/>
    <s v="7120200"/>
    <s v="Travel/Auto Allow'ce"/>
    <s v="Marketing"/>
    <n v="46.51"/>
    <n v="267.95999999999998"/>
    <x v="16"/>
  </r>
  <r>
    <s v="Mettler-Toledo, LLC - MTI"/>
    <s v="MTMO-US"/>
    <s v="7120250"/>
    <s v="Signing/Prop bonus"/>
    <s v="Logistics&amp;Purch. Costs"/>
    <m/>
    <m/>
    <x v="16"/>
  </r>
  <r>
    <s v="Mettler-Toledo, LLC - MTI"/>
    <s v="MTMO-US"/>
    <s v="7120250"/>
    <s v="Signing/Prop bonus"/>
    <s v="Service"/>
    <n v="3802.76"/>
    <n v="2354.1799999999998"/>
    <x v="16"/>
  </r>
  <r>
    <s v="Mettler-Toledo, LLC - MTI"/>
    <s v="MTMO-US"/>
    <s v="7120250"/>
    <s v="Signing/Prop bonus"/>
    <s v="Marketing"/>
    <n v="2098.84"/>
    <n v="2450"/>
    <x v="16"/>
  </r>
  <r>
    <s v="Mettler-Toledo, LLC - MTI"/>
    <s v="MTMO-US"/>
    <s v="7120250"/>
    <s v="Signing/Prop bonus"/>
    <s v="General &amp; Admin"/>
    <m/>
    <m/>
    <x v="16"/>
  </r>
  <r>
    <s v="Mettler-Toledo, LLC - MTI"/>
    <s v="MTMO-US"/>
    <s v="7120350"/>
    <s v="Job advertisement"/>
    <s v="Marketing"/>
    <m/>
    <m/>
    <x v="16"/>
  </r>
  <r>
    <s v="Mettler-Toledo, LLC - MTI"/>
    <s v="MTMO-US"/>
    <s v="7120400"/>
    <s v="Application fees"/>
    <s v="Service"/>
    <n v="506.76"/>
    <n v="1419.99"/>
    <x v="16"/>
  </r>
  <r>
    <s v="Mettler-Toledo, LLC - MTI"/>
    <s v="MTMO-US"/>
    <s v="7120400"/>
    <s v="Application fees"/>
    <s v="Marketing"/>
    <n v="0"/>
    <m/>
    <x v="16"/>
  </r>
  <r>
    <s v="Mettler-Toledo, LLC - MTI"/>
    <s v="MTMO-US"/>
    <s v="7120450"/>
    <s v="Severance Pay"/>
    <s v="Logistics&amp;Purch. Costs"/>
    <m/>
    <m/>
    <x v="16"/>
  </r>
  <r>
    <s v="Mettler-Toledo, LLC - MTI"/>
    <s v="MTMO-US"/>
    <s v="7120450"/>
    <s v="Severance Pay"/>
    <s v="Service"/>
    <n v="2473.2399999999998"/>
    <n v="4153.6000000000004"/>
    <x v="16"/>
  </r>
  <r>
    <s v="Mettler-Toledo, LLC - MTI"/>
    <s v="MTMO-US"/>
    <s v="7120450"/>
    <s v="Severance Pay"/>
    <s v="Marketing"/>
    <m/>
    <m/>
    <x v="16"/>
  </r>
  <r>
    <s v="Mettler-Toledo, LLC - MTI"/>
    <s v="MTMO-US"/>
    <s v="7120450"/>
    <s v="Severance Pay"/>
    <s v="General &amp; Admin"/>
    <m/>
    <m/>
    <x v="16"/>
  </r>
  <r>
    <s v="Mettler-Toledo, LLC - MTI"/>
    <s v="MTMO-US"/>
    <s v="7120650"/>
    <s v="Employee Relocation"/>
    <s v="Service"/>
    <m/>
    <m/>
    <x v="16"/>
  </r>
  <r>
    <s v="Mettler-Toledo, LLC - MTI"/>
    <s v="MTMO-US"/>
    <s v="7120650"/>
    <s v="Employee Relocation"/>
    <s v="Marketing"/>
    <n v="380"/>
    <n v="5416.93"/>
    <x v="16"/>
  </r>
  <r>
    <s v="Mettler-Toledo, LLC - MTI"/>
    <s v="MTMO-US"/>
    <s v="7120650"/>
    <s v="Employee Relocation"/>
    <s v="General &amp; Admin"/>
    <n v="6286.09"/>
    <m/>
    <x v="16"/>
  </r>
  <r>
    <s v="Mettler-Toledo, LLC - MTI"/>
    <s v="MTMO-US"/>
    <s v="7120750"/>
    <s v="Tuition Reimbursem't"/>
    <s v="Marketing"/>
    <m/>
    <n v="0"/>
    <x v="16"/>
  </r>
  <r>
    <s v="Mettler-Toledo, LLC - MTI"/>
    <s v="MTMO-US"/>
    <s v="7120750"/>
    <s v="Tuition Reimbursem't"/>
    <s v="General &amp; Admin"/>
    <n v="2467.19"/>
    <n v="4820"/>
    <x v="16"/>
  </r>
  <r>
    <s v="Mettler-Toledo, LLC - MTI"/>
    <s v="MTMO-US"/>
    <s v="7120900"/>
    <s v="Other Personnel Exp"/>
    <s v="Logistics&amp;Purch. Costs"/>
    <n v="6.4"/>
    <m/>
    <x v="16"/>
  </r>
  <r>
    <s v="Mettler-Toledo, LLC - MTI"/>
    <s v="MTMO-US"/>
    <s v="7120900"/>
    <s v="Other Personnel Exp"/>
    <s v="Service"/>
    <n v="6570.66"/>
    <n v="11744.65"/>
    <x v="16"/>
  </r>
  <r>
    <s v="Mettler-Toledo, LLC - MTI"/>
    <s v="MTMO-US"/>
    <s v="7120900"/>
    <s v="Other Personnel Exp"/>
    <s v="Marketing"/>
    <n v="29780.9"/>
    <n v="9318.5"/>
    <x v="16"/>
  </r>
  <r>
    <s v="Mettler-Toledo, LLC - MTI"/>
    <s v="MTMO-US"/>
    <s v="7120900"/>
    <s v="Other Personnel Exp"/>
    <s v="General &amp; Admin"/>
    <n v="7501.76"/>
    <n v="11701.96"/>
    <x v="16"/>
  </r>
  <r>
    <s v="Mettler-Toledo, LLC - MTI"/>
    <s v="MTMO-US"/>
    <s v="ZZZZZZ2"/>
    <s v="Free of Charge COPA"/>
    <s v="Marketing"/>
    <n v="-5631.54"/>
    <n v="0"/>
    <x v="12"/>
  </r>
  <r>
    <s v="Mettler-Toledo, LLC - MTI"/>
    <s v="MTMO-US"/>
    <s v="ZZZZZZ3"/>
    <s v="Total PEX from COPA"/>
    <s v="Logistics&amp;Purch. Costs"/>
    <n v="141242.29999999999"/>
    <n v="101408.46"/>
    <x v="12"/>
  </r>
  <r>
    <s v="Mettler-Toledo, LLC - MTI"/>
    <s v="MTMO-US"/>
    <s v="ZZZZZZ3"/>
    <s v="Total PEX from COPA"/>
    <s v="Service"/>
    <n v="6853813.3200000003"/>
    <n v="5883161.9800000004"/>
    <x v="12"/>
  </r>
  <r>
    <s v="Mettler-Toledo, LLC - MTI"/>
    <s v="MTMO-US"/>
    <s v="ZZZZZZ3"/>
    <s v="Total PEX from COPA"/>
    <s v="Marketing"/>
    <n v="6537197.4100000001"/>
    <n v="5513403.75"/>
    <x v="12"/>
  </r>
  <r>
    <s v="Mettler-Toledo, LLC - MTI"/>
    <s v="MTMO-US"/>
    <s v="ZZZZZZ3"/>
    <s v="Total PEX from COPA"/>
    <s v="Promotion"/>
    <n v="139994.01"/>
    <n v="99431.43"/>
    <x v="12"/>
  </r>
  <r>
    <s v="Mettler-Toledo, LLC - MTI"/>
    <s v="MTMO-US"/>
    <s v="ZZZZZZ3"/>
    <s v="Total PEX from COPA"/>
    <s v="General &amp; Admin"/>
    <n v="792457.79"/>
    <n v="908120.09"/>
    <x v="12"/>
  </r>
  <r>
    <s v="Mettler-Toledo, LLC - MTI"/>
    <s v="MTMO-US"/>
    <s v="ZZZZZZ4"/>
    <s v="Total PEX  Cost Acco"/>
    <s v="Logistics&amp;Purch. Costs"/>
    <n v="-141242.29999999999"/>
    <n v="-109668.42"/>
    <x v="12"/>
  </r>
  <r>
    <s v="Mettler-Toledo, LLC - MTI"/>
    <s v="MTMO-US"/>
    <s v="ZZZZZZ4"/>
    <s v="Total PEX  Cost Acco"/>
    <s v="Service"/>
    <n v="-7427688.8899999997"/>
    <n v="-6446877.6299999999"/>
    <x v="12"/>
  </r>
  <r>
    <s v="Mettler-Toledo, LLC - MTI"/>
    <s v="MTMO-US"/>
    <s v="ZZZZZZ4"/>
    <s v="Total PEX  Cost Acco"/>
    <s v="Marketing"/>
    <n v="-6515628.6500000004"/>
    <n v="-5518131.7599999998"/>
    <x v="12"/>
  </r>
  <r>
    <s v="Mettler-Toledo, LLC - MTI"/>
    <s v="MTMO-US"/>
    <s v="ZZZZZZ4"/>
    <s v="Total PEX  Cost Acco"/>
    <s v="Promotion"/>
    <n v="-139994.01"/>
    <n v="-99431.43"/>
    <x v="12"/>
  </r>
  <r>
    <s v="Mettler-Toledo, LLC - MTI"/>
    <s v="MTMO-US"/>
    <s v="ZZZZZZ4"/>
    <s v="Total PEX  Cost Acco"/>
    <s v="General &amp; Admin"/>
    <n v="-824302.02"/>
    <n v="-934755.76"/>
    <x v="12"/>
  </r>
  <r>
    <s v="Mettler-Toledo, LLC - MTI"/>
    <s v="MTMO-US"/>
    <s v="ZZZZZZ5"/>
    <s v="Prov. For Bad Debt"/>
    <s v="General &amp; Admin"/>
    <n v="-84486.76"/>
    <n v="52662.45"/>
    <x v="12"/>
  </r>
  <r>
    <s v="Mettler-Toledo, LLC - MTI"/>
    <s v="MTMO-US"/>
    <s v="ZZZZZZ6"/>
    <s v="Losses on Trade AR"/>
    <s v="General &amp; Admin"/>
    <n v="-228.98"/>
    <n v="47"/>
    <x v="12"/>
  </r>
  <r>
    <s v="Mettler-Toledo, LLC - MTI"/>
    <s v="MTMO-US"/>
    <s v="ZZZZZZ7"/>
    <s v="Net Loss/Gain on Dis"/>
    <s v="General &amp; Admin"/>
    <m/>
    <n v="-19168.36"/>
    <x v="12"/>
  </r>
  <r>
    <s v="Mettler-Toledo, LLC - MTI"/>
    <s v="MTMO-US"/>
    <s v="ZZZZZ11"/>
    <s v="Other Expense"/>
    <s v="General &amp; Admin"/>
    <n v="-0.05"/>
    <m/>
    <x v="12"/>
  </r>
  <r>
    <s v="Mettler-Toledo, LLC - MTI"/>
    <s v="MTMO-US"/>
    <s v="TOP_01"/>
    <s v="Total Personnel Expe"/>
    <s v="Logistics&amp;Purch. Costs"/>
    <n v="143622.87"/>
    <n v="117215.87"/>
    <x v="0"/>
  </r>
  <r>
    <s v="Mettler-Toledo, LLC - MTI"/>
    <s v="MTMO-US"/>
    <s v="TOP_01"/>
    <s v="Total Personnel Expe"/>
    <s v="Service"/>
    <n v="5512576"/>
    <n v="5095553.6100000003"/>
    <x v="0"/>
  </r>
  <r>
    <s v="Mettler-Toledo, LLC - MTI"/>
    <s v="MTMO-US"/>
    <s v="TOP_01"/>
    <s v="Total Personnel Expe"/>
    <s v="Marketing"/>
    <n v="5478650.0099999998"/>
    <n v="4759629.24"/>
    <x v="0"/>
  </r>
  <r>
    <s v="Mettler-Toledo, LLC - MTI"/>
    <s v="MTMO-US"/>
    <s v="TOP_01"/>
    <s v="Total Personnel Expe"/>
    <s v="General &amp; Admin"/>
    <n v="451189.15"/>
    <n v="426158.77"/>
    <x v="0"/>
  </r>
  <r>
    <s v="Mettler-Toledo, LLC - MTI"/>
    <s v="MTMO-US"/>
    <s v="TOP_01_01"/>
    <s v="Base Compensation"/>
    <s v="Logistics&amp;Purch. Costs"/>
    <n v="106721.01"/>
    <n v="97559.039999999994"/>
    <x v="0"/>
  </r>
  <r>
    <s v="Mettler-Toledo, LLC - MTI"/>
    <s v="MTMO-US"/>
    <s v="TOP_01_01"/>
    <s v="Base Compensation"/>
    <s v="Service"/>
    <n v="3976135.93"/>
    <n v="3843875.52"/>
    <x v="0"/>
  </r>
  <r>
    <s v="Mettler-Toledo, LLC - MTI"/>
    <s v="MTMO-US"/>
    <s v="TOP_01_01"/>
    <s v="Base Compensation"/>
    <s v="Marketing"/>
    <n v="3277590.2"/>
    <n v="2975767.74"/>
    <x v="0"/>
  </r>
  <r>
    <s v="Mettler-Toledo, LLC - MTI"/>
    <s v="MTMO-US"/>
    <s v="TOP_01_01"/>
    <s v="Base Compensation"/>
    <s v="General &amp; Admin"/>
    <n v="321186.01"/>
    <n v="322047.81"/>
    <x v="0"/>
  </r>
  <r>
    <s v="Mettler-Toledo, LLC - MTI"/>
    <s v="MTMO-US"/>
    <s v="TOP_01_02"/>
    <s v="Social Costs / Benef"/>
    <s v="Logistics&amp;Purch. Costs"/>
    <n v="25438.86"/>
    <n v="22239.16"/>
    <x v="0"/>
  </r>
  <r>
    <s v="Mettler-Toledo, LLC - MTI"/>
    <s v="MTMO-US"/>
    <s v="TOP_01_02"/>
    <s v="Social Costs / Benef"/>
    <s v="Service"/>
    <n v="1085162.3899999999"/>
    <n v="1010367.68"/>
    <x v="0"/>
  </r>
  <r>
    <s v="Mettler-Toledo, LLC - MTI"/>
    <s v="MTMO-US"/>
    <s v="TOP_01_02"/>
    <s v="Social Costs / Benef"/>
    <s v="Marketing"/>
    <n v="908075.52000000002"/>
    <n v="828132.44"/>
    <x v="0"/>
  </r>
  <r>
    <s v="Mettler-Toledo, LLC - MTI"/>
    <s v="MTMO-US"/>
    <s v="TOP_01_02"/>
    <s v="Social Costs / Benef"/>
    <s v="General &amp; Admin"/>
    <n v="77185.350000000006"/>
    <n v="74387.41"/>
    <x v="0"/>
  </r>
  <r>
    <s v="Mettler-Toledo, LLC - MTI"/>
    <s v="MTMO-US"/>
    <s v="TOP_01_03"/>
    <s v="Other Personnel Expe"/>
    <s v="Logistics&amp;Purch. Costs"/>
    <n v="6.4"/>
    <m/>
    <x v="0"/>
  </r>
  <r>
    <s v="Mettler-Toledo, LLC - MTI"/>
    <s v="MTMO-US"/>
    <s v="TOP_01_03"/>
    <s v="Other Personnel Expe"/>
    <s v="Service"/>
    <n v="17710.97"/>
    <n v="24097.14"/>
    <x v="0"/>
  </r>
  <r>
    <s v="Mettler-Toledo, LLC - MTI"/>
    <s v="MTMO-US"/>
    <s v="TOP_01_03"/>
    <s v="Other Personnel Expe"/>
    <s v="Marketing"/>
    <n v="44942.98"/>
    <n v="27494.15"/>
    <x v="0"/>
  </r>
  <r>
    <s v="Mettler-Toledo, LLC - MTI"/>
    <s v="MTMO-US"/>
    <s v="TOP_01_03"/>
    <s v="Other Personnel Expe"/>
    <s v="General &amp; Admin"/>
    <n v="17910.04"/>
    <n v="16979.509999999998"/>
    <x v="0"/>
  </r>
  <r>
    <s v="Mettler-Toledo, LLC - MTI"/>
    <s v="MTMO-US"/>
    <s v="TOP_01_04"/>
    <s v="Bonus"/>
    <s v="Logistics&amp;Purch. Costs"/>
    <n v="9066.33"/>
    <n v="-4104.43"/>
    <x v="0"/>
  </r>
  <r>
    <s v="Mettler-Toledo, LLC - MTI"/>
    <s v="MTMO-US"/>
    <s v="TOP_01_04"/>
    <s v="Bonus"/>
    <s v="Service"/>
    <n v="202562.57"/>
    <n v="68593.98"/>
    <x v="0"/>
  </r>
  <r>
    <s v="Mettler-Toledo, LLC - MTI"/>
    <s v="MTMO-US"/>
    <s v="TOP_01_04"/>
    <s v="Bonus"/>
    <s v="Marketing"/>
    <n v="77650.14"/>
    <n v="-18234.75"/>
    <x v="0"/>
  </r>
  <r>
    <s v="Mettler-Toledo, LLC - MTI"/>
    <s v="MTMO-US"/>
    <s v="TOP_01_04"/>
    <s v="Bonus"/>
    <s v="General &amp; Admin"/>
    <n v="34907.75"/>
    <n v="12744.04"/>
    <x v="0"/>
  </r>
  <r>
    <s v="Mettler-Toledo, LLC - MTI"/>
    <s v="MTMO-US"/>
    <s v="7130050"/>
    <s v="Bonus Expense Local"/>
    <s v="Logistics&amp;Purch. Costs"/>
    <n v="3031.33"/>
    <n v="1286.57"/>
    <x v="17"/>
  </r>
  <r>
    <s v="Mettler-Toledo, LLC - MTI"/>
    <s v="MTMO-US"/>
    <s v="7130050"/>
    <s v="Bonus Expense Local"/>
    <s v="Service"/>
    <n v="186385.57"/>
    <n v="87519.01"/>
    <x v="17"/>
  </r>
  <r>
    <s v="Mettler-Toledo, LLC - MTI"/>
    <s v="MTMO-US"/>
    <s v="7130050"/>
    <s v="Bonus Expense Local"/>
    <s v="Marketing"/>
    <n v="47643.14"/>
    <n v="19260.63"/>
    <x v="17"/>
  </r>
  <r>
    <s v="Mettler-Toledo, LLC - MTI"/>
    <s v="MTMO-US"/>
    <s v="7130050"/>
    <s v="Bonus Expense Local"/>
    <s v="General &amp; Admin"/>
    <n v="8566.75"/>
    <n v="4128.04"/>
    <x v="17"/>
  </r>
  <r>
    <s v="Mettler-Toledo, LLC - MTI"/>
    <s v="MTMO-US"/>
    <s v="7130100"/>
    <s v="Bonus Expense POBS"/>
    <s v="Logistics&amp;Purch. Costs"/>
    <n v="6035"/>
    <n v="-5391"/>
    <x v="17"/>
  </r>
  <r>
    <s v="Mettler-Toledo, LLC - MTI"/>
    <s v="MTMO-US"/>
    <s v="7130100"/>
    <s v="Bonus Expense POBS"/>
    <s v="Service"/>
    <n v="16177"/>
    <n v="-18925.03"/>
    <x v="17"/>
  </r>
  <r>
    <s v="Mettler-Toledo, LLC - MTI"/>
    <s v="MTMO-US"/>
    <s v="7130100"/>
    <s v="Bonus Expense POBS"/>
    <s v="Marketing"/>
    <n v="30007"/>
    <n v="-37495.379999999997"/>
    <x v="17"/>
  </r>
  <r>
    <s v="Mettler-Toledo, LLC - MTI"/>
    <s v="MTMO-US"/>
    <s v="7130100"/>
    <s v="Bonus Expense POBS"/>
    <s v="General &amp; Admin"/>
    <n v="26341"/>
    <n v="8616"/>
    <x v="17"/>
  </r>
  <r>
    <s v="Mettler-Toledo, LLC - MTI"/>
    <s v="MTMO-US"/>
    <s v="TOP_01_05"/>
    <s v="Commissions / Other"/>
    <s v="Logistics&amp;Purch. Costs"/>
    <n v="2390.27"/>
    <n v="1522.1"/>
    <x v="0"/>
  </r>
  <r>
    <s v="Mettler-Toledo, LLC - MTI"/>
    <s v="MTMO-US"/>
    <s v="TOP_01_05"/>
    <s v="Commissions / Other"/>
    <s v="Service"/>
    <n v="231004.14"/>
    <n v="148619.29"/>
    <x v="0"/>
  </r>
  <r>
    <s v="Mettler-Toledo, LLC - MTI"/>
    <s v="MTMO-US"/>
    <s v="TOP_01_05"/>
    <s v="Commissions / Other"/>
    <s v="Marketing"/>
    <n v="1170391.17"/>
    <n v="946469.66"/>
    <x v="0"/>
  </r>
  <r>
    <s v="Mettler-Toledo, LLC - MTI"/>
    <s v="MTMO-US"/>
    <s v="TOP_01_05"/>
    <s v="Commissions / Other"/>
    <s v="General &amp; Admin"/>
    <m/>
    <n v="0"/>
    <x v="0"/>
  </r>
  <r>
    <s v="Mettler-Toledo, LLC - MTI"/>
    <s v="MTMO-US"/>
    <s v="7140050"/>
    <s v="Empl. Sales Comm."/>
    <s v="Logistics&amp;Purch. Costs"/>
    <n v="2390.27"/>
    <n v="1522.1"/>
    <x v="18"/>
  </r>
  <r>
    <s v="Mettler-Toledo, LLC - MTI"/>
    <s v="MTMO-US"/>
    <s v="7140050"/>
    <s v="Empl. Sales Comm."/>
    <s v="Service"/>
    <n v="207053.97"/>
    <n v="148619.29"/>
    <x v="18"/>
  </r>
  <r>
    <s v="Mettler-Toledo, LLC - MTI"/>
    <s v="MTMO-US"/>
    <s v="7140050"/>
    <s v="Empl. Sales Comm."/>
    <s v="Marketing"/>
    <n v="1027291.34"/>
    <n v="749779.65"/>
    <x v="18"/>
  </r>
  <r>
    <s v="Mettler-Toledo, LLC - MTI"/>
    <s v="MTMO-US"/>
    <s v="7140050"/>
    <s v="Empl. Sales Comm."/>
    <s v="General &amp; Admin"/>
    <m/>
    <n v="0"/>
    <x v="18"/>
  </r>
  <r>
    <s v="Mettler-Toledo, LLC - MTI"/>
    <s v="MTMO-US"/>
    <s v="7140100"/>
    <s v="Other Spec. Incent."/>
    <s v="Service"/>
    <n v="23950.17"/>
    <m/>
    <x v="18"/>
  </r>
  <r>
    <s v="Mettler-Toledo, LLC - MTI"/>
    <s v="MTMO-US"/>
    <s v="7140100"/>
    <s v="Other Spec. Incent."/>
    <s v="Marketing"/>
    <n v="143099.82999999999"/>
    <n v="196690.01"/>
    <x v="18"/>
  </r>
  <r>
    <s v="Mettler-Toledo, LLC - MTI"/>
    <s v="MTMO-US"/>
    <s v="TOP_02"/>
    <s v="Travel and Entertain"/>
    <s v="Logistics&amp;Purch. Costs"/>
    <n v="6.49"/>
    <n v="-6648.65"/>
    <x v="0"/>
  </r>
  <r>
    <s v="Mettler-Toledo, LLC - MTI"/>
    <s v="MTMO-US"/>
    <s v="TOP_02"/>
    <s v="Travel and Entertain"/>
    <s v="Service"/>
    <n v="366851.63"/>
    <n v="275155.52"/>
    <x v="0"/>
  </r>
  <r>
    <s v="Mettler-Toledo, LLC - MTI"/>
    <s v="MTMO-US"/>
    <s v="TOP_02"/>
    <s v="Travel and Entertain"/>
    <s v="Marketing"/>
    <n v="336299.34"/>
    <n v="273188.40999999997"/>
    <x v="0"/>
  </r>
  <r>
    <s v="Mettler-Toledo, LLC - MTI"/>
    <s v="MTMO-US"/>
    <s v="TOP_02"/>
    <s v="Travel and Entertain"/>
    <s v="Promotion"/>
    <m/>
    <m/>
    <x v="0"/>
  </r>
  <r>
    <s v="Mettler-Toledo, LLC - MTI"/>
    <s v="MTMO-US"/>
    <s v="TOP_02"/>
    <s v="Travel and Entertain"/>
    <s v="General &amp; Admin"/>
    <n v="5066.12"/>
    <n v="-39646.879999999997"/>
    <x v="0"/>
  </r>
  <r>
    <s v="Mettler-Toledo, LLC - MTI"/>
    <s v="MTMO-US"/>
    <s v="7220050"/>
    <s v="Meals/Entertainment"/>
    <s v="General &amp; Admin"/>
    <n v="2087.88"/>
    <n v="-43917.16"/>
    <x v="2"/>
  </r>
  <r>
    <s v="Mettler-Toledo, LLC - MTI"/>
    <s v="MTMO-US"/>
    <s v="7220100"/>
    <s v="Hotel Accommodations"/>
    <s v="Logistics&amp;Purch. Costs"/>
    <n v="-912.71"/>
    <n v="-3886.16"/>
    <x v="2"/>
  </r>
  <r>
    <s v="Mettler-Toledo, LLC - MTI"/>
    <s v="MTMO-US"/>
    <s v="7220100"/>
    <s v="Hotel Accommodations"/>
    <s v="Service"/>
    <n v="178575.44"/>
    <n v="140674.9"/>
    <x v="2"/>
  </r>
  <r>
    <s v="Mettler-Toledo, LLC - MTI"/>
    <s v="MTMO-US"/>
    <s v="7220100"/>
    <s v="Hotel Accommodations"/>
    <s v="Marketing"/>
    <n v="106643.26"/>
    <n v="82613.08"/>
    <x v="2"/>
  </r>
  <r>
    <s v="Mettler-Toledo, LLC - MTI"/>
    <s v="MTMO-US"/>
    <s v="7220100"/>
    <s v="Hotel Accommodations"/>
    <s v="General &amp; Admin"/>
    <n v="0"/>
    <n v="883.42"/>
    <x v="2"/>
  </r>
  <r>
    <s v="Mettler-Toledo, LLC - MTI"/>
    <s v="MTMO-US"/>
    <s v="7220150"/>
    <s v="Airfare"/>
    <s v="Logistics&amp;Purch. Costs"/>
    <n v="2437.2800000000002"/>
    <n v="-2953.35"/>
    <x v="2"/>
  </r>
  <r>
    <s v="Mettler-Toledo, LLC - MTI"/>
    <s v="MTMO-US"/>
    <s v="7220150"/>
    <s v="Airfare"/>
    <s v="Service"/>
    <n v="62747.91"/>
    <n v="45245.279999999999"/>
    <x v="2"/>
  </r>
  <r>
    <s v="Mettler-Toledo, LLC - MTI"/>
    <s v="MTMO-US"/>
    <s v="7220150"/>
    <s v="Airfare"/>
    <s v="Marketing"/>
    <n v="98423.03"/>
    <n v="82656.88"/>
    <x v="2"/>
  </r>
  <r>
    <s v="Mettler-Toledo, LLC - MTI"/>
    <s v="MTMO-US"/>
    <s v="7220150"/>
    <s v="Airfare"/>
    <s v="General &amp; Admin"/>
    <n v="1587.13"/>
    <n v="529.91999999999996"/>
    <x v="2"/>
  </r>
  <r>
    <s v="Mettler-Toledo, LLC - MTI"/>
    <s v="MTMO-US"/>
    <s v="7220250"/>
    <s v="Other Transportation"/>
    <s v="Logistics&amp;Purch. Costs"/>
    <n v="20.27"/>
    <n v="-9.7799999999999994"/>
    <x v="2"/>
  </r>
  <r>
    <s v="Mettler-Toledo, LLC - MTI"/>
    <s v="MTMO-US"/>
    <s v="7220250"/>
    <s v="Other Transportation"/>
    <s v="Service"/>
    <n v="11446.61"/>
    <n v="14244.06"/>
    <x v="2"/>
  </r>
  <r>
    <s v="Mettler-Toledo, LLC - MTI"/>
    <s v="MTMO-US"/>
    <s v="7220250"/>
    <s v="Other Transportation"/>
    <s v="Marketing"/>
    <n v="17610.689999999999"/>
    <n v="13058.08"/>
    <x v="2"/>
  </r>
  <r>
    <s v="Mettler-Toledo, LLC - MTI"/>
    <s v="MTMO-US"/>
    <s v="7220250"/>
    <s v="Other Transportation"/>
    <s v="General &amp; Admin"/>
    <n v="75.27"/>
    <n v="323"/>
    <x v="2"/>
  </r>
  <r>
    <s v="Mettler-Toledo, LLC - MTI"/>
    <s v="MTMO-US"/>
    <s v="7220300"/>
    <s v="Auto Rental"/>
    <s v="Logistics&amp;Purch. Costs"/>
    <n v="268.45999999999998"/>
    <n v="353.08"/>
    <x v="2"/>
  </r>
  <r>
    <s v="Mettler-Toledo, LLC - MTI"/>
    <s v="MTMO-US"/>
    <s v="7220300"/>
    <s v="Auto Rental"/>
    <s v="Service"/>
    <n v="13862.97"/>
    <n v="16251.28"/>
    <x v="2"/>
  </r>
  <r>
    <s v="Mettler-Toledo, LLC - MTI"/>
    <s v="MTMO-US"/>
    <s v="7220300"/>
    <s v="Auto Rental"/>
    <s v="Marketing"/>
    <n v="9265.5300000000007"/>
    <n v="14959.72"/>
    <x v="2"/>
  </r>
  <r>
    <s v="Mettler-Toledo, LLC - MTI"/>
    <s v="MTMO-US"/>
    <s v="7220350"/>
    <s v="Mileage/Km Reimburse"/>
    <s v="Service"/>
    <n v="707.7"/>
    <n v="115.24"/>
    <x v="2"/>
  </r>
  <r>
    <s v="Mettler-Toledo, LLC - MTI"/>
    <s v="MTMO-US"/>
    <s v="7220350"/>
    <s v="Mileage/Km Reimburse"/>
    <s v="Marketing"/>
    <n v="1201.2"/>
    <n v="3687.68"/>
    <x v="2"/>
  </r>
  <r>
    <s v="Mettler-Toledo, LLC - MTI"/>
    <s v="MTMO-US"/>
    <s v="7220800"/>
    <s v="Meetings Exp"/>
    <s v="Service"/>
    <n v="3138.34"/>
    <n v="328.58"/>
    <x v="2"/>
  </r>
  <r>
    <s v="Mettler-Toledo, LLC - MTI"/>
    <s v="MTMO-US"/>
    <s v="7220800"/>
    <s v="Meetings Exp"/>
    <s v="Marketing"/>
    <n v="33063.49"/>
    <n v="21371.8"/>
    <x v="2"/>
  </r>
  <r>
    <s v="Mettler-Toledo, LLC - MTI"/>
    <s v="MTMO-US"/>
    <s v="7220800"/>
    <s v="Meetings Exp"/>
    <s v="General &amp; Admin"/>
    <m/>
    <n v="2500"/>
    <x v="2"/>
  </r>
  <r>
    <s v="Mettler-Toledo, LLC - MTI"/>
    <s v="MTMO-US"/>
    <s v="7220900"/>
    <s v="Other Trav. &amp; Enter."/>
    <s v="Logistics&amp;Purch. Costs"/>
    <n v="-790.47"/>
    <n v="-38.4"/>
    <x v="2"/>
  </r>
  <r>
    <s v="Mettler-Toledo, LLC - MTI"/>
    <s v="MTMO-US"/>
    <s v="7220900"/>
    <s v="Other Trav. &amp; Enter."/>
    <s v="Service"/>
    <n v="2028.07"/>
    <n v="1612.11"/>
    <x v="2"/>
  </r>
  <r>
    <s v="Mettler-Toledo, LLC - MTI"/>
    <s v="MTMO-US"/>
    <s v="7220900"/>
    <s v="Other Trav. &amp; Enter."/>
    <s v="Marketing"/>
    <n v="-10894.9"/>
    <n v="-3897.99"/>
    <x v="2"/>
  </r>
  <r>
    <s v="Mettler-Toledo, LLC - MTI"/>
    <s v="MTMO-US"/>
    <s v="7220900"/>
    <s v="Other Trav. &amp; Enter."/>
    <s v="General &amp; Admin"/>
    <n v="1315.84"/>
    <n v="33.94"/>
    <x v="2"/>
  </r>
  <r>
    <s v="Mettler-Toledo, LLC - MTI"/>
    <s v="MTMO-US"/>
    <s v="TOP_03"/>
    <s v="Agent Commissions /"/>
    <s v="Marketing"/>
    <n v="129585"/>
    <n v="96293.33"/>
    <x v="0"/>
  </r>
  <r>
    <s v="Mettler-Toledo, LLC - MTI"/>
    <s v="MTMO-US"/>
    <s v="ZZZZZZ1"/>
    <s v="Commissions - COPA"/>
    <s v="Marketing"/>
    <n v="129585"/>
    <n v="96293.33"/>
    <x v="19"/>
  </r>
  <r>
    <s v="Mettler-Toledo, LLC - MTI"/>
    <s v="MTMO-US"/>
    <s v="TOP_04"/>
    <s v="Maintenance and Util"/>
    <s v="Logistics&amp;Purch. Costs"/>
    <n v="-91.3"/>
    <m/>
    <x v="0"/>
  </r>
  <r>
    <s v="Mettler-Toledo, LLC - MTI"/>
    <s v="MTMO-US"/>
    <s v="TOP_04"/>
    <s v="Maintenance and Util"/>
    <s v="Service"/>
    <n v="80505.710000000006"/>
    <n v="60529.34"/>
    <x v="0"/>
  </r>
  <r>
    <s v="Mettler-Toledo, LLC - MTI"/>
    <s v="MTMO-US"/>
    <s v="TOP_04"/>
    <s v="Maintenance and Util"/>
    <s v="Marketing"/>
    <n v="92228.28"/>
    <n v="97959.32"/>
    <x v="0"/>
  </r>
  <r>
    <s v="Mettler-Toledo, LLC - MTI"/>
    <s v="MTMO-US"/>
    <s v="TOP_04"/>
    <s v="Maintenance and Util"/>
    <s v="General &amp; Admin"/>
    <n v="96044.45"/>
    <n v="112363.34"/>
    <x v="0"/>
  </r>
  <r>
    <s v="Mettler-Toledo, LLC - MTI"/>
    <s v="MTMO-US"/>
    <s v="7210100"/>
    <s v="Building Rent"/>
    <s v="Logistics&amp;Purch. Costs"/>
    <n v="2780.41"/>
    <m/>
    <x v="1"/>
  </r>
  <r>
    <s v="Mettler-Toledo, LLC - MTI"/>
    <s v="MTMO-US"/>
    <s v="7210100"/>
    <s v="Building Rent"/>
    <s v="Service"/>
    <n v="50616.63"/>
    <n v="23867.78"/>
    <x v="1"/>
  </r>
  <r>
    <s v="Mettler-Toledo, LLC - MTI"/>
    <s v="MTMO-US"/>
    <s v="7210100"/>
    <s v="Building Rent"/>
    <s v="Marketing"/>
    <n v="85371.63"/>
    <n v="90234.69"/>
    <x v="1"/>
  </r>
  <r>
    <s v="Mettler-Toledo, LLC - MTI"/>
    <s v="MTMO-US"/>
    <s v="7210100"/>
    <s v="Building Rent"/>
    <s v="General &amp; Admin"/>
    <n v="-4966.96"/>
    <m/>
    <x v="1"/>
  </r>
  <r>
    <s v="Mettler-Toledo, LLC - MTI"/>
    <s v="MTMO-US"/>
    <s v="7210110"/>
    <s v="Mov. Assets Rent"/>
    <s v="General &amp; Admin"/>
    <n v="4966.96"/>
    <m/>
    <x v="1"/>
  </r>
  <r>
    <s v="Mettler-Toledo, LLC - MTI"/>
    <s v="MTMO-US"/>
    <s v="7210111"/>
    <s v="MaintBuilding-Leased"/>
    <s v="Logistics&amp;Purch. Costs"/>
    <n v="-2871.71"/>
    <m/>
    <x v="1"/>
  </r>
  <r>
    <s v="Mettler-Toledo, LLC - MTI"/>
    <s v="MTMO-US"/>
    <s v="7210111"/>
    <s v="MaintBuilding-Leased"/>
    <s v="Service"/>
    <n v="-2426.86"/>
    <n v="3048.2"/>
    <x v="1"/>
  </r>
  <r>
    <s v="Mettler-Toledo, LLC - MTI"/>
    <s v="MTMO-US"/>
    <s v="7210111"/>
    <s v="MaintBuilding-Leased"/>
    <s v="Marketing"/>
    <n v="1836.22"/>
    <n v="332.95"/>
    <x v="1"/>
  </r>
  <r>
    <s v="Mettler-Toledo, LLC - MTI"/>
    <s v="MTMO-US"/>
    <s v="7210111"/>
    <s v="MaintBuilding-Leased"/>
    <s v="General &amp; Admin"/>
    <n v="77936.72"/>
    <n v="98177.04"/>
    <x v="1"/>
  </r>
  <r>
    <s v="Mettler-Toledo, LLC - MTI"/>
    <s v="MTMO-US"/>
    <s v="7210112"/>
    <s v="Utility-Elect-Leased"/>
    <s v="Service"/>
    <n v="1235.79"/>
    <n v="1035.57"/>
    <x v="1"/>
  </r>
  <r>
    <s v="Mettler-Toledo, LLC - MTI"/>
    <s v="MTMO-US"/>
    <s v="7210112"/>
    <s v="Utility-Elect-Leased"/>
    <s v="Marketing"/>
    <n v="94.3"/>
    <n v="79.33"/>
    <x v="1"/>
  </r>
  <r>
    <s v="Mettler-Toledo, LLC - MTI"/>
    <s v="MTMO-US"/>
    <s v="7210113"/>
    <s v="Utility-NatGas-Lease"/>
    <s v="Service"/>
    <n v="101.29"/>
    <n v="126.35"/>
    <x v="1"/>
  </r>
  <r>
    <s v="Mettler-Toledo, LLC - MTI"/>
    <s v="MTMO-US"/>
    <s v="7210114"/>
    <s v="Util-WatSewer-Lease"/>
    <s v="Service"/>
    <n v="104.74"/>
    <n v="172.52"/>
    <x v="1"/>
  </r>
  <r>
    <s v="Mettler-Toledo, LLC - MTI"/>
    <s v="MTMO-US"/>
    <s v="7210115"/>
    <s v="Utility-Other-Leased"/>
    <s v="Service"/>
    <n v="690"/>
    <n v="294.14999999999998"/>
    <x v="1"/>
  </r>
  <r>
    <s v="Mettler-Toledo, LLC - MTI"/>
    <s v="MTMO-US"/>
    <s v="7210118"/>
    <s v="ST LsEx-RealEst-Leas"/>
    <s v="Service"/>
    <n v="4443.17"/>
    <n v="5556.77"/>
    <x v="1"/>
  </r>
  <r>
    <s v="Mettler-Toledo, LLC - MTI"/>
    <s v="MTMO-US"/>
    <s v="7210118"/>
    <s v="ST LsEx-RealEst-Leas"/>
    <s v="Marketing"/>
    <n v="1152.08"/>
    <n v="1289.45"/>
    <x v="1"/>
  </r>
  <r>
    <s v="Mettler-Toledo, LLC - MTI"/>
    <s v="MTMO-US"/>
    <s v="7210119"/>
    <s v="LseNotCap-RealEstExp"/>
    <s v="Service"/>
    <n v="15251.33"/>
    <n v="11886.71"/>
    <x v="1"/>
  </r>
  <r>
    <s v="Mettler-Toledo, LLC - MTI"/>
    <s v="MTMO-US"/>
    <s v="7210119"/>
    <s v="LseNotCap-RealEstExp"/>
    <s v="Marketing"/>
    <n v="2866.7"/>
    <n v="2898.72"/>
    <x v="1"/>
  </r>
  <r>
    <s v="Mettler-Toledo, LLC - MTI"/>
    <s v="MTMO-US"/>
    <s v="7210200"/>
    <s v="Maintenance Building"/>
    <s v="Service"/>
    <n v="3661.88"/>
    <n v="2540.5700000000002"/>
    <x v="1"/>
  </r>
  <r>
    <s v="Mettler-Toledo, LLC - MTI"/>
    <s v="MTMO-US"/>
    <s v="7210200"/>
    <s v="Maintenance Building"/>
    <s v="Marketing"/>
    <n v="524.84"/>
    <n v="1763.27"/>
    <x v="1"/>
  </r>
  <r>
    <s v="Mettler-Toledo, LLC - MTI"/>
    <s v="MTMO-US"/>
    <s v="7210200"/>
    <s v="Maintenance Building"/>
    <s v="General &amp; Admin"/>
    <n v="12024.4"/>
    <n v="9108.3799999999992"/>
    <x v="1"/>
  </r>
  <r>
    <s v="Mettler-Toledo, LLC - MTI"/>
    <s v="MTMO-US"/>
    <s v="7210410"/>
    <s v="Utilities - Electric"/>
    <s v="Service"/>
    <n v="1793.86"/>
    <n v="4827.26"/>
    <x v="1"/>
  </r>
  <r>
    <s v="Mettler-Toledo, LLC - MTI"/>
    <s v="MTMO-US"/>
    <s v="7210410"/>
    <s v="Utilities - Electric"/>
    <s v="Marketing"/>
    <n v="172.73"/>
    <n v="755.87"/>
    <x v="1"/>
  </r>
  <r>
    <s v="Mettler-Toledo, LLC - MTI"/>
    <s v="MTMO-US"/>
    <s v="7210420"/>
    <s v="Utilities - Nat. Gas"/>
    <s v="Service"/>
    <n v="302.98"/>
    <n v="407.03"/>
    <x v="1"/>
  </r>
  <r>
    <s v="Mettler-Toledo, LLC - MTI"/>
    <s v="MTMO-US"/>
    <s v="7210420"/>
    <s v="Utilities - Nat. Gas"/>
    <s v="Marketing"/>
    <n v="56.78"/>
    <n v="29.14"/>
    <x v="1"/>
  </r>
  <r>
    <s v="Mettler-Toledo, LLC - MTI"/>
    <s v="MTMO-US"/>
    <s v="7210430"/>
    <s v="Utilities Water&amp;Sewr"/>
    <s v="Service"/>
    <n v="137.81"/>
    <n v="429.47"/>
    <x v="1"/>
  </r>
  <r>
    <s v="Mettler-Toledo, LLC - MTI"/>
    <s v="MTMO-US"/>
    <s v="7210490"/>
    <s v="Utilities - Other"/>
    <s v="Service"/>
    <n v="4593.09"/>
    <n v="2498.4899999999998"/>
    <x v="1"/>
  </r>
  <r>
    <s v="Mettler-Toledo, LLC - MTI"/>
    <s v="MTMO-US"/>
    <s v="7210490"/>
    <s v="Utilities - Other"/>
    <s v="Marketing"/>
    <n v="153"/>
    <n v="575.9"/>
    <x v="1"/>
  </r>
  <r>
    <s v="Mettler-Toledo, LLC - MTI"/>
    <s v="MTMO-US"/>
    <s v="7210500"/>
    <s v="Real Estate Tax"/>
    <s v="Service"/>
    <m/>
    <n v="3838.47"/>
    <x v="1"/>
  </r>
  <r>
    <s v="Mettler-Toledo, LLC - MTI"/>
    <s v="MTMO-US"/>
    <s v="7210600"/>
    <s v="Property Insurance"/>
    <s v="General &amp; Admin"/>
    <n v="6083.33"/>
    <n v="4987.92"/>
    <x v="1"/>
  </r>
  <r>
    <s v="Mettler-Toledo, LLC - MTI"/>
    <s v="MTMO-US"/>
    <s v="TOP_15"/>
    <s v="Telecommunications"/>
    <s v="Logistics&amp;Purch. Costs"/>
    <n v="570.71"/>
    <n v="523.51"/>
    <x v="0"/>
  </r>
  <r>
    <s v="Mettler-Toledo, LLC - MTI"/>
    <s v="MTMO-US"/>
    <s v="TOP_15"/>
    <s v="Telecommunications"/>
    <s v="Service"/>
    <n v="37183.64"/>
    <n v="37837.51"/>
    <x v="0"/>
  </r>
  <r>
    <s v="Mettler-Toledo, LLC - MTI"/>
    <s v="MTMO-US"/>
    <s v="TOP_15"/>
    <s v="Telecommunications"/>
    <s v="Marketing"/>
    <n v="25021.51"/>
    <n v="31142.19"/>
    <x v="0"/>
  </r>
  <r>
    <s v="Mettler-Toledo, LLC - MTI"/>
    <s v="MTMO-US"/>
    <s v="TOP_15"/>
    <s v="Telecommunications"/>
    <s v="General &amp; Admin"/>
    <n v="22799.8"/>
    <n v="14797.52"/>
    <x v="0"/>
  </r>
  <r>
    <s v="Mettler-Toledo, LLC - MTI"/>
    <s v="MTMO-US"/>
    <s v="7240050"/>
    <s v="Data networking cst"/>
    <s v="Service"/>
    <n v="494.34"/>
    <m/>
    <x v="4"/>
  </r>
  <r>
    <s v="Mettler-Toledo, LLC - MTI"/>
    <s v="MTMO-US"/>
    <s v="7240100"/>
    <s v="Telecom Mobile"/>
    <s v="Logistics&amp;Purch. Costs"/>
    <n v="570.71"/>
    <n v="523.51"/>
    <x v="4"/>
  </r>
  <r>
    <s v="Mettler-Toledo, LLC - MTI"/>
    <s v="MTMO-US"/>
    <s v="7240100"/>
    <s v="Telecom Mobile"/>
    <s v="Service"/>
    <n v="32303.53"/>
    <n v="31263.9"/>
    <x v="4"/>
  </r>
  <r>
    <s v="Mettler-Toledo, LLC - MTI"/>
    <s v="MTMO-US"/>
    <s v="7240100"/>
    <s v="Telecom Mobile"/>
    <s v="Marketing"/>
    <n v="18646.169999999998"/>
    <n v="16426.919999999998"/>
    <x v="4"/>
  </r>
  <r>
    <s v="Mettler-Toledo, LLC - MTI"/>
    <s v="MTMO-US"/>
    <s v="7240100"/>
    <s v="Telecom Mobile"/>
    <s v="General &amp; Admin"/>
    <n v="1266.51"/>
    <n v="1062.25"/>
    <x v="4"/>
  </r>
  <r>
    <s v="Mettler-Toledo, LLC - MTI"/>
    <s v="MTMO-US"/>
    <s v="7240150"/>
    <s v="Telecom Services"/>
    <s v="Service"/>
    <n v="3424.73"/>
    <n v="6573.61"/>
    <x v="4"/>
  </r>
  <r>
    <s v="Mettler-Toledo, LLC - MTI"/>
    <s v="MTMO-US"/>
    <s v="7240150"/>
    <s v="Telecom Services"/>
    <s v="Marketing"/>
    <n v="6375.34"/>
    <n v="14715.27"/>
    <x v="4"/>
  </r>
  <r>
    <s v="Mettler-Toledo, LLC - MTI"/>
    <s v="MTMO-US"/>
    <s v="7240150"/>
    <s v="Telecom Services"/>
    <s v="General &amp; Admin"/>
    <n v="21533.29"/>
    <n v="13735.27"/>
    <x v="4"/>
  </r>
  <r>
    <s v="Mettler-Toledo, LLC - MTI"/>
    <s v="MTMO-US"/>
    <s v="7240200"/>
    <s v="Telephone Local"/>
    <s v="Service"/>
    <n v="961.04"/>
    <m/>
    <x v="4"/>
  </r>
  <r>
    <s v="Mettler-Toledo, LLC - MTI"/>
    <s v="MTMO-US"/>
    <s v="TOP_05"/>
    <s v="Vehicle Costs"/>
    <s v="Logistics&amp;Purch. Costs"/>
    <n v="682.82"/>
    <n v="656.28"/>
    <x v="0"/>
  </r>
  <r>
    <s v="Mettler-Toledo, LLC - MTI"/>
    <s v="MTMO-US"/>
    <s v="TOP_05"/>
    <s v="Vehicle Costs"/>
    <s v="Service"/>
    <n v="1084163.06"/>
    <n v="924135.1"/>
    <x v="0"/>
  </r>
  <r>
    <s v="Mettler-Toledo, LLC - MTI"/>
    <s v="MTMO-US"/>
    <s v="TOP_05"/>
    <s v="Vehicle Costs"/>
    <s v="Marketing"/>
    <n v="250463.12"/>
    <n v="134969.17000000001"/>
    <x v="0"/>
  </r>
  <r>
    <s v="Mettler-Toledo, LLC - MTI"/>
    <s v="MTMO-US"/>
    <s v="TOP_05"/>
    <s v="Vehicle Costs"/>
    <s v="General &amp; Admin"/>
    <n v="17267.37"/>
    <n v="163180.89000000001"/>
    <x v="0"/>
  </r>
  <r>
    <s v="Mettler-Toledo, LLC - MTI"/>
    <s v="MTMO-US"/>
    <s v="7230050"/>
    <s v="Vehicle Leasing"/>
    <s v="Service"/>
    <n v="153208.47"/>
    <n v="54605.120000000003"/>
    <x v="3"/>
  </r>
  <r>
    <s v="Mettler-Toledo, LLC - MTI"/>
    <s v="MTMO-US"/>
    <s v="7230050"/>
    <s v="Vehicle Leasing"/>
    <s v="Marketing"/>
    <n v="67628.66"/>
    <n v="27698.75"/>
    <x v="3"/>
  </r>
  <r>
    <s v="Mettler-Toledo, LLC - MTI"/>
    <s v="MTMO-US"/>
    <s v="7230050"/>
    <s v="Vehicle Leasing"/>
    <s v="General &amp; Admin"/>
    <n v="215959.04000000001"/>
    <n v="23315.32"/>
    <x v="3"/>
  </r>
  <r>
    <s v="Mettler-Toledo, LLC - MTI"/>
    <s v="MTMO-US"/>
    <s v="7230055"/>
    <s v="VehLeaseExp-Variable"/>
    <s v="Logistics&amp;Purch. Costs"/>
    <n v="558.37"/>
    <n v="464.97"/>
    <x v="0"/>
  </r>
  <r>
    <s v="Mettler-Toledo, LLC - MTI"/>
    <s v="MTMO-US"/>
    <s v="7230055"/>
    <s v="VehLeaseExp-Variable"/>
    <s v="Service"/>
    <n v="283809.99"/>
    <n v="259493.08"/>
    <x v="0"/>
  </r>
  <r>
    <s v="Mettler-Toledo, LLC - MTI"/>
    <s v="MTMO-US"/>
    <s v="7230055"/>
    <s v="VehLeaseExp-Variable"/>
    <s v="Marketing"/>
    <n v="65952.02"/>
    <n v="81391.520000000004"/>
    <x v="0"/>
  </r>
  <r>
    <s v="Mettler-Toledo, LLC - MTI"/>
    <s v="MTMO-US"/>
    <s v="7230055"/>
    <s v="VehLeaseExp-Variable"/>
    <s v="General &amp; Admin"/>
    <n v="-104427.68"/>
    <n v="99833.91"/>
    <x v="0"/>
  </r>
  <r>
    <s v="Mettler-Toledo, LLC - MTI"/>
    <s v="MTMO-US"/>
    <s v="7230060"/>
    <s v="Vehicle Rental"/>
    <s v="Service"/>
    <n v="18826.03"/>
    <m/>
    <x v="3"/>
  </r>
  <r>
    <s v="Mettler-Toledo, LLC - MTI"/>
    <s v="MTMO-US"/>
    <s v="7230060"/>
    <s v="Vehicle Rental"/>
    <s v="Marketing"/>
    <n v="7097.22"/>
    <m/>
    <x v="3"/>
  </r>
  <r>
    <s v="Mettler-Toledo, LLC - MTI"/>
    <s v="MTMO-US"/>
    <s v="7230060"/>
    <s v="Vehicle Rental"/>
    <s v="General &amp; Admin"/>
    <n v="9534.33"/>
    <m/>
    <x v="3"/>
  </r>
  <r>
    <s v="Mettler-Toledo, LLC - MTI"/>
    <s v="MTMO-US"/>
    <s v="7230100"/>
    <s v="Vehicle Fuel"/>
    <s v="Logistics&amp;Purch. Costs"/>
    <n v="0"/>
    <n v="44.78"/>
    <x v="3"/>
  </r>
  <r>
    <s v="Mettler-Toledo, LLC - MTI"/>
    <s v="MTMO-US"/>
    <s v="7230100"/>
    <s v="Vehicle Fuel"/>
    <s v="Service"/>
    <n v="193529.52"/>
    <n v="236041.27"/>
    <x v="3"/>
  </r>
  <r>
    <s v="Mettler-Toledo, LLC - MTI"/>
    <s v="MTMO-US"/>
    <s v="7230100"/>
    <s v="Vehicle Fuel"/>
    <s v="Marketing"/>
    <n v="28334.59"/>
    <n v="32852.6"/>
    <x v="3"/>
  </r>
  <r>
    <s v="Mettler-Toledo, LLC - MTI"/>
    <s v="MTMO-US"/>
    <s v="7230100"/>
    <s v="Vehicle Fuel"/>
    <s v="General &amp; Admin"/>
    <n v="58520.82"/>
    <n v="69774.3"/>
    <x v="3"/>
  </r>
  <r>
    <s v="Mettler-Toledo, LLC - MTI"/>
    <s v="MTMO-US"/>
    <s v="7230150"/>
    <s v="Vehicle Insurance"/>
    <s v="Logistics&amp;Purch. Costs"/>
    <n v="162.88"/>
    <n v="143.86000000000001"/>
    <x v="3"/>
  </r>
  <r>
    <s v="Mettler-Toledo, LLC - MTI"/>
    <s v="MTMO-US"/>
    <s v="7230150"/>
    <s v="Vehicle Insurance"/>
    <s v="Service"/>
    <n v="96751.17"/>
    <n v="83010.039999999994"/>
    <x v="3"/>
  </r>
  <r>
    <s v="Mettler-Toledo, LLC - MTI"/>
    <s v="MTMO-US"/>
    <s v="7230150"/>
    <s v="Vehicle Insurance"/>
    <s v="Marketing"/>
    <n v="31110.2"/>
    <n v="26327.02"/>
    <x v="3"/>
  </r>
  <r>
    <s v="Mettler-Toledo, LLC - MTI"/>
    <s v="MTMO-US"/>
    <s v="7230150"/>
    <s v="Vehicle Insurance"/>
    <s v="General &amp; Admin"/>
    <m/>
    <n v="143.86000000000001"/>
    <x v="3"/>
  </r>
  <r>
    <s v="Mettler-Toledo, LLC - MTI"/>
    <s v="MTMO-US"/>
    <s v="7230200"/>
    <s v="Vehicle Maint."/>
    <s v="Logistics&amp;Purch. Costs"/>
    <n v="-39.93"/>
    <n v="-231.33"/>
    <x v="3"/>
  </r>
  <r>
    <s v="Mettler-Toledo, LLC - MTI"/>
    <s v="MTMO-US"/>
    <s v="7230200"/>
    <s v="Vehicle Maint."/>
    <s v="Service"/>
    <n v="198510.54"/>
    <n v="231827.39"/>
    <x v="3"/>
  </r>
  <r>
    <s v="Mettler-Toledo, LLC - MTI"/>
    <s v="MTMO-US"/>
    <s v="7230200"/>
    <s v="Vehicle Maint."/>
    <s v="Marketing"/>
    <n v="35559.040000000001"/>
    <n v="5759.44"/>
    <x v="3"/>
  </r>
  <r>
    <s v="Mettler-Toledo, LLC - MTI"/>
    <s v="MTMO-US"/>
    <s v="7230200"/>
    <s v="Vehicle Maint."/>
    <s v="General &amp; Admin"/>
    <n v="48853.919999999998"/>
    <n v="37794.82"/>
    <x v="3"/>
  </r>
  <r>
    <s v="Mettler-Toledo, LLC - MTI"/>
    <s v="MTMO-US"/>
    <s v="7230250"/>
    <s v="Vehicle Other"/>
    <s v="Logistics&amp;Purch. Costs"/>
    <n v="1.5"/>
    <n v="234"/>
    <x v="3"/>
  </r>
  <r>
    <s v="Mettler-Toledo, LLC - MTI"/>
    <s v="MTMO-US"/>
    <s v="7230250"/>
    <s v="Vehicle Other"/>
    <s v="Service"/>
    <n v="139527.34"/>
    <n v="59158.2"/>
    <x v="3"/>
  </r>
  <r>
    <s v="Mettler-Toledo, LLC - MTI"/>
    <s v="MTMO-US"/>
    <s v="7230250"/>
    <s v="Vehicle Other"/>
    <s v="Marketing"/>
    <n v="14781.39"/>
    <n v="-39060.160000000003"/>
    <x v="3"/>
  </r>
  <r>
    <s v="Mettler-Toledo, LLC - MTI"/>
    <s v="MTMO-US"/>
    <s v="7230250"/>
    <s v="Vehicle Other"/>
    <s v="General &amp; Admin"/>
    <n v="-211173.06"/>
    <n v="-67681.320000000007"/>
    <x v="3"/>
  </r>
  <r>
    <s v="Mettler-Toledo, LLC - MTI"/>
    <s v="MTMO-US"/>
    <s v="TOP_06"/>
    <s v="Promotion and Advert"/>
    <s v="Service"/>
    <n v="2362.83"/>
    <n v="-16.920000000000002"/>
    <x v="0"/>
  </r>
  <r>
    <s v="Mettler-Toledo, LLC - MTI"/>
    <s v="MTMO-US"/>
    <s v="TOP_06"/>
    <s v="Promotion and Advert"/>
    <s v="Marketing"/>
    <n v="35686.82"/>
    <n v="57286.77"/>
    <x v="0"/>
  </r>
  <r>
    <s v="Mettler-Toledo, LLC - MTI"/>
    <s v="MTMO-US"/>
    <s v="TOP_06"/>
    <s v="Promotion and Advert"/>
    <s v="Promotion"/>
    <n v="139560.34"/>
    <n v="99295.43"/>
    <x v="0"/>
  </r>
  <r>
    <s v="Mettler-Toledo, LLC - MTI"/>
    <s v="MTMO-US"/>
    <s v="TOP_06"/>
    <s v="Promotion and Advert"/>
    <s v="General &amp; Admin"/>
    <n v="-183.1"/>
    <m/>
    <x v="0"/>
  </r>
  <r>
    <s v="Mettler-Toledo, LLC - MTI"/>
    <s v="MTMO-US"/>
    <s v="7270100"/>
    <s v="Advertising"/>
    <s v="Service"/>
    <n v="251.55"/>
    <n v="7.58"/>
    <x v="7"/>
  </r>
  <r>
    <s v="Mettler-Toledo, LLC - MTI"/>
    <s v="MTMO-US"/>
    <s v="7270100"/>
    <s v="Advertising"/>
    <s v="Marketing"/>
    <n v="5320.31"/>
    <n v="12566.53"/>
    <x v="7"/>
  </r>
  <r>
    <s v="Mettler-Toledo, LLC - MTI"/>
    <s v="MTMO-US"/>
    <s v="7270100"/>
    <s v="Advertising"/>
    <s v="Promotion"/>
    <n v="43750"/>
    <n v="71908.34"/>
    <x v="7"/>
  </r>
  <r>
    <s v="Mettler-Toledo, LLC - MTI"/>
    <s v="MTMO-US"/>
    <s v="7270150"/>
    <s v="Marketing Print"/>
    <s v="Service"/>
    <n v="1066.32"/>
    <m/>
    <x v="7"/>
  </r>
  <r>
    <s v="Mettler-Toledo, LLC - MTI"/>
    <s v="MTMO-US"/>
    <s v="7270150"/>
    <s v="Marketing Print"/>
    <s v="Marketing"/>
    <n v="4000.19"/>
    <n v="334.32"/>
    <x v="7"/>
  </r>
  <r>
    <s v="Mettler-Toledo, LLC - MTI"/>
    <s v="MTMO-US"/>
    <s v="7270150"/>
    <s v="Marketing Print"/>
    <s v="Promotion"/>
    <n v="1562.5"/>
    <n v="-2365"/>
    <x v="7"/>
  </r>
  <r>
    <s v="Mettler-Toledo, LLC - MTI"/>
    <s v="MTMO-US"/>
    <s v="7270300"/>
    <s v="Telemarketing"/>
    <s v="Marketing"/>
    <m/>
    <n v="24.59"/>
    <x v="7"/>
  </r>
  <r>
    <s v="Mettler-Toledo, LLC - MTI"/>
    <s v="MTMO-US"/>
    <s v="7270350"/>
    <s v="Electronic Marketing"/>
    <s v="Marketing"/>
    <n v="483.56"/>
    <n v="-154.56"/>
    <x v="7"/>
  </r>
  <r>
    <s v="Mettler-Toledo, LLC - MTI"/>
    <s v="MTMO-US"/>
    <s v="7270350"/>
    <s v="Electronic Marketing"/>
    <s v="Promotion"/>
    <n v="22298.5"/>
    <n v="27387.09"/>
    <x v="7"/>
  </r>
  <r>
    <s v="Mettler-Toledo, LLC - MTI"/>
    <s v="MTMO-US"/>
    <s v="7270400"/>
    <s v="Prom or Rebate Offer"/>
    <s v="Marketing"/>
    <m/>
    <n v="7.35"/>
    <x v="7"/>
  </r>
  <r>
    <s v="Mettler-Toledo, LLC - MTI"/>
    <s v="MTMO-US"/>
    <s v="7270450"/>
    <s v="Trade Shows"/>
    <s v="Marketing"/>
    <n v="25762.37"/>
    <n v="43508.83"/>
    <x v="7"/>
  </r>
  <r>
    <s v="Mettler-Toledo, LLC - MTI"/>
    <s v="MTMO-US"/>
    <s v="7270450"/>
    <s v="Trade Shows"/>
    <s v="Promotion"/>
    <n v="71949.34"/>
    <n v="2365"/>
    <x v="7"/>
  </r>
  <r>
    <s v="Mettler-Toledo, LLC - MTI"/>
    <s v="MTMO-US"/>
    <s v="7270500"/>
    <s v="Giveaway Items"/>
    <s v="Service"/>
    <n v="978.79"/>
    <m/>
    <x v="7"/>
  </r>
  <r>
    <s v="Mettler-Toledo, LLC - MTI"/>
    <s v="MTMO-US"/>
    <s v="7270500"/>
    <s v="Giveaway Items"/>
    <s v="Marketing"/>
    <n v="1179.3"/>
    <n v="1245.44"/>
    <x v="7"/>
  </r>
  <r>
    <s v="Mettler-Toledo, LLC - MTI"/>
    <s v="MTMO-US"/>
    <s v="7270550"/>
    <s v="Catalogs"/>
    <s v="Service"/>
    <n v="66.17"/>
    <n v="-24.5"/>
    <x v="7"/>
  </r>
  <r>
    <s v="Mettler-Toledo, LLC - MTI"/>
    <s v="MTMO-US"/>
    <s v="7270550"/>
    <s v="Catalogs"/>
    <s v="Marketing"/>
    <n v="-1242.01"/>
    <n v="49.54"/>
    <x v="7"/>
  </r>
  <r>
    <s v="Mettler-Toledo, LLC - MTI"/>
    <s v="MTMO-US"/>
    <s v="7270900"/>
    <s v="Other Promo Expense"/>
    <s v="Marketing"/>
    <n v="183.1"/>
    <n v="-295.27"/>
    <x v="7"/>
  </r>
  <r>
    <s v="Mettler-Toledo, LLC - MTI"/>
    <s v="MTMO-US"/>
    <s v="7270900"/>
    <s v="Other Promo Expense"/>
    <s v="General &amp; Admin"/>
    <n v="-183.1"/>
    <m/>
    <x v="7"/>
  </r>
  <r>
    <s v="Mettler-Toledo, LLC - MTI"/>
    <s v="MTMO-US"/>
    <s v="TOP_07"/>
    <s v="Hardware / Software"/>
    <s v="Logistics&amp;Purch. Costs"/>
    <n v="473.03"/>
    <n v="34.22"/>
    <x v="0"/>
  </r>
  <r>
    <s v="Mettler-Toledo, LLC - MTI"/>
    <s v="MTMO-US"/>
    <s v="TOP_07"/>
    <s v="Hardware / Software"/>
    <s v="Service"/>
    <n v="3841.73"/>
    <n v="773.21"/>
    <x v="0"/>
  </r>
  <r>
    <s v="Mettler-Toledo, LLC - MTI"/>
    <s v="MTMO-US"/>
    <s v="TOP_07"/>
    <s v="Hardware / Software"/>
    <s v="Marketing"/>
    <n v="27856.81"/>
    <n v="5353.19"/>
    <x v="0"/>
  </r>
  <r>
    <s v="Mettler-Toledo, LLC - MTI"/>
    <s v="MTMO-US"/>
    <s v="TOP_07"/>
    <s v="Hardware / Software"/>
    <s v="General &amp; Admin"/>
    <n v="9643.58"/>
    <n v="9286.8700000000008"/>
    <x v="0"/>
  </r>
  <r>
    <s v="Mettler-Toledo, LLC - MTI"/>
    <s v="MTMO-US"/>
    <s v="7260050"/>
    <s v="SW Maint./Subscript."/>
    <s v="Logistics&amp;Purch. Costs"/>
    <n v="473.03"/>
    <n v="34.22"/>
    <x v="6"/>
  </r>
  <r>
    <s v="Mettler-Toledo, LLC - MTI"/>
    <s v="MTMO-US"/>
    <s v="7260050"/>
    <s v="SW Maint./Subscript."/>
    <s v="Service"/>
    <n v="3892.86"/>
    <n v="674.64"/>
    <x v="6"/>
  </r>
  <r>
    <s v="Mettler-Toledo, LLC - MTI"/>
    <s v="MTMO-US"/>
    <s v="7260050"/>
    <s v="SW Maint./Subscript."/>
    <s v="Marketing"/>
    <n v="27652.6"/>
    <n v="5353.19"/>
    <x v="6"/>
  </r>
  <r>
    <s v="Mettler-Toledo, LLC - MTI"/>
    <s v="MTMO-US"/>
    <s v="7260050"/>
    <s v="SW Maint./Subscript."/>
    <s v="General &amp; Admin"/>
    <n v="9643.58"/>
    <n v="9286.8700000000008"/>
    <x v="6"/>
  </r>
  <r>
    <s v="Mettler-Toledo, LLC - MTI"/>
    <s v="MTMO-US"/>
    <s v="7260100"/>
    <s v="IT HW Maintenance"/>
    <s v="Service"/>
    <n v="-51.13"/>
    <n v="98.57"/>
    <x v="6"/>
  </r>
  <r>
    <s v="Mettler-Toledo, LLC - MTI"/>
    <s v="MTMO-US"/>
    <s v="7260100"/>
    <s v="IT HW Maintenance"/>
    <s v="Marketing"/>
    <n v="204.21"/>
    <m/>
    <x v="6"/>
  </r>
  <r>
    <s v="Mettler-Toledo, LLC - MTI"/>
    <s v="MTMO-US"/>
    <s v="TOP_08"/>
    <s v="R&amp;D Materials &amp; Sub-"/>
    <s v="Service"/>
    <m/>
    <m/>
    <x v="0"/>
  </r>
  <r>
    <s v="Mettler-Toledo, LLC - MTI"/>
    <s v="MTMO-US"/>
    <s v="TOP_08"/>
    <s v="R&amp;D Materials &amp; Sub-"/>
    <s v="Marketing"/>
    <m/>
    <m/>
    <x v="0"/>
  </r>
  <r>
    <s v="Mettler-Toledo, LLC - MTI"/>
    <s v="MTMO-US"/>
    <s v="TOP_09"/>
    <s v="Audit &amp; SOX costs"/>
    <s v="Logistics&amp;Purch. Costs"/>
    <m/>
    <m/>
    <x v="0"/>
  </r>
  <r>
    <s v="Mettler-Toledo, LLC - MTI"/>
    <s v="MTMO-US"/>
    <s v="TOP_09"/>
    <s v="Audit &amp; SOX costs"/>
    <s v="Service"/>
    <m/>
    <m/>
    <x v="0"/>
  </r>
  <r>
    <s v="Mettler-Toledo, LLC - MTI"/>
    <s v="MTMO-US"/>
    <s v="TOP_09"/>
    <s v="Audit &amp; SOX costs"/>
    <s v="General &amp; Admin"/>
    <n v="22363.58"/>
    <n v="21920.83"/>
    <x v="0"/>
  </r>
  <r>
    <s v="Mettler-Toledo, LLC - MTI"/>
    <s v="MTMO-US"/>
    <s v="7280100"/>
    <s v="Ext.Audit &amp; SOX Fees"/>
    <s v="General &amp; Admin"/>
    <n v="22363.58"/>
    <n v="21920.83"/>
    <x v="8"/>
  </r>
  <r>
    <s v="Mettler-Toledo, LLC - MTI"/>
    <s v="MTMO-US"/>
    <s v="TOP_10"/>
    <s v="Consultants &amp; Other"/>
    <s v="Logistics&amp;Purch. Costs"/>
    <n v="7285.25"/>
    <n v="3350"/>
    <x v="0"/>
  </r>
  <r>
    <s v="Mettler-Toledo, LLC - MTI"/>
    <s v="MTMO-US"/>
    <s v="TOP_10"/>
    <s v="Consultants &amp; Other"/>
    <s v="Service"/>
    <n v="38966.78"/>
    <n v="30131.64"/>
    <x v="0"/>
  </r>
  <r>
    <s v="Mettler-Toledo, LLC - MTI"/>
    <s v="MTMO-US"/>
    <s v="TOP_10"/>
    <s v="Consultants &amp; Other"/>
    <s v="Marketing"/>
    <n v="27562.63"/>
    <n v="16867.189999999999"/>
    <x v="0"/>
  </r>
  <r>
    <s v="Mettler-Toledo, LLC - MTI"/>
    <s v="MTMO-US"/>
    <s v="TOP_10"/>
    <s v="Consultants &amp; Other"/>
    <s v="General &amp; Admin"/>
    <n v="15095"/>
    <n v="22555.66"/>
    <x v="0"/>
  </r>
  <r>
    <s v="Mettler-Toledo, LLC - MTI"/>
    <s v="MTMO-US"/>
    <s v="7290100"/>
    <s v="Legal Fees"/>
    <s v="Service"/>
    <n v="28298"/>
    <n v="10797"/>
    <x v="9"/>
  </r>
  <r>
    <s v="Mettler-Toledo, LLC - MTI"/>
    <s v="MTMO-US"/>
    <s v="7290100"/>
    <s v="Legal Fees"/>
    <s v="Marketing"/>
    <n v="14826.45"/>
    <n v="11307.77"/>
    <x v="9"/>
  </r>
  <r>
    <s v="Mettler-Toledo, LLC - MTI"/>
    <s v="MTMO-US"/>
    <s v="7290100"/>
    <s v="Legal Fees"/>
    <s v="General &amp; Admin"/>
    <n v="7574.5"/>
    <n v="7474.5"/>
    <x v="9"/>
  </r>
  <r>
    <s v="Mettler-Toledo, LLC - MTI"/>
    <s v="MTMO-US"/>
    <s v="7290150"/>
    <s v="IT Professional Fees"/>
    <s v="Service"/>
    <n v="839.18"/>
    <m/>
    <x v="9"/>
  </r>
  <r>
    <s v="Mettler-Toledo, LLC - MTI"/>
    <s v="MTMO-US"/>
    <s v="7290150"/>
    <s v="IT Professional Fees"/>
    <s v="Marketing"/>
    <n v="0"/>
    <n v="260.99"/>
    <x v="9"/>
  </r>
  <r>
    <s v="Mettler-Toledo, LLC - MTI"/>
    <s v="MTMO-US"/>
    <s v="7290250"/>
    <s v="Temporary Employees"/>
    <s v="Service"/>
    <n v="3603.91"/>
    <n v="14962.75"/>
    <x v="9"/>
  </r>
  <r>
    <s v="Mettler-Toledo, LLC - MTI"/>
    <s v="MTMO-US"/>
    <s v="7290250"/>
    <s v="Temporary Employees"/>
    <s v="Marketing"/>
    <m/>
    <n v="268.38"/>
    <x v="9"/>
  </r>
  <r>
    <s v="Mettler-Toledo, LLC - MTI"/>
    <s v="MTMO-US"/>
    <s v="7290400"/>
    <s v="HR &amp; Recruiting Fees"/>
    <s v="Service"/>
    <n v="4587.58"/>
    <n v="1011.37"/>
    <x v="9"/>
  </r>
  <r>
    <s v="Mettler-Toledo, LLC - MTI"/>
    <s v="MTMO-US"/>
    <s v="7290400"/>
    <s v="HR &amp; Recruiting Fees"/>
    <s v="Marketing"/>
    <n v="12280.07"/>
    <n v="74.88"/>
    <x v="9"/>
  </r>
  <r>
    <s v="Mettler-Toledo, LLC - MTI"/>
    <s v="MTMO-US"/>
    <s v="7290400"/>
    <s v="HR &amp; Recruiting Fees"/>
    <s v="General &amp; Admin"/>
    <n v="6835.34"/>
    <n v="4319.13"/>
    <x v="9"/>
  </r>
  <r>
    <s v="Mettler-Toledo, LLC - MTI"/>
    <s v="MTMO-US"/>
    <s v="7290900"/>
    <s v="Oth. Cons.&amp;Prof Fees"/>
    <s v="Logistics&amp;Purch. Costs"/>
    <n v="7285.25"/>
    <n v="3350"/>
    <x v="9"/>
  </r>
  <r>
    <s v="Mettler-Toledo, LLC - MTI"/>
    <s v="MTMO-US"/>
    <s v="7290900"/>
    <s v="Oth. Cons.&amp;Prof Fees"/>
    <s v="Service"/>
    <n v="1638.11"/>
    <n v="3360.52"/>
    <x v="9"/>
  </r>
  <r>
    <s v="Mettler-Toledo, LLC - MTI"/>
    <s v="MTMO-US"/>
    <s v="7290900"/>
    <s v="Oth. Cons.&amp;Prof Fees"/>
    <s v="Marketing"/>
    <n v="456.11"/>
    <n v="4955.17"/>
    <x v="9"/>
  </r>
  <r>
    <s v="Mettler-Toledo, LLC - MTI"/>
    <s v="MTMO-US"/>
    <s v="7290900"/>
    <s v="Oth. Cons.&amp;Prof Fees"/>
    <s v="General &amp; Admin"/>
    <n v="685.16"/>
    <n v="10762.03"/>
    <x v="9"/>
  </r>
  <r>
    <s v="Mettler-Toledo, LLC - MTI"/>
    <s v="MTMO-US"/>
    <s v="TOP_11"/>
    <s v="Depreciation"/>
    <s v="Logistics&amp;Purch. Costs"/>
    <n v="95.76"/>
    <n v="95.76"/>
    <x v="0"/>
  </r>
  <r>
    <s v="Mettler-Toledo, LLC - MTI"/>
    <s v="MTMO-US"/>
    <s v="TOP_11"/>
    <s v="Depreciation"/>
    <s v="Service"/>
    <n v="54865.35"/>
    <n v="52490.78"/>
    <x v="0"/>
  </r>
  <r>
    <s v="Mettler-Toledo, LLC - MTI"/>
    <s v="MTMO-US"/>
    <s v="TOP_11"/>
    <s v="Depreciation"/>
    <s v="Marketing"/>
    <n v="3520"/>
    <n v="3755.01"/>
    <x v="0"/>
  </r>
  <r>
    <s v="Mettler-Toledo, LLC - MTI"/>
    <s v="MTMO-US"/>
    <s v="TOP_11"/>
    <s v="Depreciation"/>
    <s v="General &amp; Admin"/>
    <n v="16120.97"/>
    <n v="24066.76"/>
    <x v="0"/>
  </r>
  <r>
    <s v="Mettler-Toledo, LLC - MTI"/>
    <s v="MTMO-US"/>
    <s v="7300050"/>
    <s v="Depr. Building"/>
    <s v="General &amp; Admin"/>
    <n v="1517.17"/>
    <n v="1565.95"/>
    <x v="13"/>
  </r>
  <r>
    <s v="Mettler-Toledo, LLC - MTI"/>
    <s v="MTMO-US"/>
    <s v="7300100"/>
    <s v="Depr. Equipm.Trans"/>
    <s v="Service"/>
    <n v="39757.26"/>
    <n v="37123.06"/>
    <x v="13"/>
  </r>
  <r>
    <s v="Mettler-Toledo, LLC - MTI"/>
    <s v="MTMO-US"/>
    <s v="7300100"/>
    <s v="Depr. Equipm.Trans"/>
    <s v="Marketing"/>
    <n v="1756.92"/>
    <n v="1991.93"/>
    <x v="13"/>
  </r>
  <r>
    <s v="Mettler-Toledo, LLC - MTI"/>
    <s v="MTMO-US"/>
    <s v="7300110"/>
    <s v="Depr. Equipm. Mach."/>
    <s v="Service"/>
    <n v="8607.7999999999993"/>
    <n v="8174.94"/>
    <x v="13"/>
  </r>
  <r>
    <s v="Mettler-Toledo, LLC - MTI"/>
    <s v="MTMO-US"/>
    <s v="7300110"/>
    <s v="Depr. Equipm. Mach."/>
    <s v="Marketing"/>
    <n v="50.79"/>
    <n v="50.79"/>
    <x v="13"/>
  </r>
  <r>
    <s v="Mettler-Toledo, LLC - MTI"/>
    <s v="MTMO-US"/>
    <s v="7300120"/>
    <s v="Depr. Equipm.IT&amp;Tele"/>
    <s v="Service"/>
    <m/>
    <n v="176.96"/>
    <x v="13"/>
  </r>
  <r>
    <s v="Mettler-Toledo, LLC - MTI"/>
    <s v="MTMO-US"/>
    <s v="7300120"/>
    <s v="Depr. Equipm.IT&amp;Tele"/>
    <s v="General &amp; Admin"/>
    <n v="7336.69"/>
    <n v="15233.7"/>
    <x v="13"/>
  </r>
  <r>
    <s v="Mettler-Toledo, LLC - MTI"/>
    <s v="MTMO-US"/>
    <s v="7300130"/>
    <s v="Depr. Equipm.Other"/>
    <s v="Logistics&amp;Purch. Costs"/>
    <n v="95.76"/>
    <n v="95.76"/>
    <x v="13"/>
  </r>
  <r>
    <s v="Mettler-Toledo, LLC - MTI"/>
    <s v="MTMO-US"/>
    <s v="7300130"/>
    <s v="Depr. Equipm.Other"/>
    <s v="Service"/>
    <n v="5809.54"/>
    <n v="6289.6"/>
    <x v="13"/>
  </r>
  <r>
    <s v="Mettler-Toledo, LLC - MTI"/>
    <s v="MTMO-US"/>
    <s v="7300130"/>
    <s v="Depr. Equipm.Other"/>
    <s v="Marketing"/>
    <n v="539.83000000000004"/>
    <n v="539.83000000000004"/>
    <x v="13"/>
  </r>
  <r>
    <s v="Mettler-Toledo, LLC - MTI"/>
    <s v="MTMO-US"/>
    <s v="7300130"/>
    <s v="Depr. Equipm.Other"/>
    <s v="General &amp; Admin"/>
    <n v="7267.11"/>
    <n v="7267.11"/>
    <x v="13"/>
  </r>
  <r>
    <s v="Mettler-Toledo, LLC - MTI"/>
    <s v="MTMO-US"/>
    <s v="7300140"/>
    <s v="Depr. Equipm.Rental"/>
    <s v="Service"/>
    <n v="690.75"/>
    <n v="726.22"/>
    <x v="13"/>
  </r>
  <r>
    <s v="Mettler-Toledo, LLC - MTI"/>
    <s v="MTMO-US"/>
    <s v="7300140"/>
    <s v="Depr. Equipm.Rental"/>
    <s v="Marketing"/>
    <n v="1172.46"/>
    <n v="1172.46"/>
    <x v="13"/>
  </r>
  <r>
    <s v="Mettler-Toledo, LLC - MTI"/>
    <s v="MTMO-US"/>
    <s v="TOP_12"/>
    <s v="Capex not Capitalize"/>
    <s v="Logistics&amp;Purch. Costs"/>
    <m/>
    <n v="107.48"/>
    <x v="0"/>
  </r>
  <r>
    <s v="Mettler-Toledo, LLC - MTI"/>
    <s v="MTMO-US"/>
    <s v="TOP_12"/>
    <s v="Capex not Capitalize"/>
    <s v="Service"/>
    <n v="52542.07"/>
    <n v="13409.4"/>
    <x v="0"/>
  </r>
  <r>
    <s v="Mettler-Toledo, LLC - MTI"/>
    <s v="MTMO-US"/>
    <s v="TOP_12"/>
    <s v="Capex not Capitalize"/>
    <s v="Marketing"/>
    <n v="3152.38"/>
    <n v="4778.1499999999996"/>
    <x v="0"/>
  </r>
  <r>
    <s v="Mettler-Toledo, LLC - MTI"/>
    <s v="MTMO-US"/>
    <s v="TOP_12"/>
    <s v="Capex not Capitalize"/>
    <s v="Promotion"/>
    <n v="192"/>
    <n v="136"/>
    <x v="0"/>
  </r>
  <r>
    <s v="Mettler-Toledo, LLC - MTI"/>
    <s v="MTMO-US"/>
    <s v="TOP_12"/>
    <s v="Capex not Capitalize"/>
    <s v="General &amp; Admin"/>
    <n v="37864.519999999997"/>
    <n v="22933.55"/>
    <x v="0"/>
  </r>
  <r>
    <s v="Mettler-Toledo, LLC - MTI"/>
    <s v="MTMO-US"/>
    <s v="7291100"/>
    <s v="Tooling not capital."/>
    <s v="Service"/>
    <n v="34871.54"/>
    <n v="11271.67"/>
    <x v="10"/>
  </r>
  <r>
    <s v="Mettler-Toledo, LLC - MTI"/>
    <s v="MTMO-US"/>
    <s v="7291100"/>
    <s v="Tooling not capital."/>
    <s v="Marketing"/>
    <n v="0"/>
    <n v="6.43"/>
    <x v="10"/>
  </r>
  <r>
    <s v="Mettler-Toledo, LLC - MTI"/>
    <s v="MTMO-US"/>
    <s v="7291200"/>
    <s v="Maint. Mach.&amp;Equip."/>
    <s v="Service"/>
    <n v="697.95"/>
    <n v="4803.63"/>
    <x v="10"/>
  </r>
  <r>
    <s v="Mettler-Toledo, LLC - MTI"/>
    <s v="MTMO-US"/>
    <s v="7291200"/>
    <s v="Maint. Mach.&amp;Equip."/>
    <s v="Marketing"/>
    <n v="32.15"/>
    <m/>
    <x v="10"/>
  </r>
  <r>
    <s v="Mettler-Toledo, LLC - MTI"/>
    <s v="MTMO-US"/>
    <s v="7291300"/>
    <s v="IT HW not capital."/>
    <s v="Logistics&amp;Purch. Costs"/>
    <m/>
    <n v="85.99"/>
    <x v="10"/>
  </r>
  <r>
    <s v="Mettler-Toledo, LLC - MTI"/>
    <s v="MTMO-US"/>
    <s v="7291300"/>
    <s v="IT HW not capital."/>
    <s v="Service"/>
    <n v="5915.41"/>
    <n v="376.97"/>
    <x v="10"/>
  </r>
  <r>
    <s v="Mettler-Toledo, LLC - MTI"/>
    <s v="MTMO-US"/>
    <s v="7291300"/>
    <s v="IT HW not capital."/>
    <s v="Marketing"/>
    <n v="1923.18"/>
    <n v="-292.17"/>
    <x v="10"/>
  </r>
  <r>
    <s v="Mettler-Toledo, LLC - MTI"/>
    <s v="MTMO-US"/>
    <s v="7291300"/>
    <s v="IT HW not capital."/>
    <s v="General &amp; Admin"/>
    <n v="30945.95"/>
    <n v="16860.36"/>
    <x v="10"/>
  </r>
  <r>
    <s v="Mettler-Toledo, LLC - MTI"/>
    <s v="MTMO-US"/>
    <s v="7291350"/>
    <s v="Software not capital"/>
    <s v="Service"/>
    <n v="163.9"/>
    <n v="98.97"/>
    <x v="10"/>
  </r>
  <r>
    <s v="Mettler-Toledo, LLC - MTI"/>
    <s v="MTMO-US"/>
    <s v="7291350"/>
    <s v="Software not capital"/>
    <s v="Marketing"/>
    <n v="2836.71"/>
    <n v="2892.41"/>
    <x v="10"/>
  </r>
  <r>
    <s v="Mettler-Toledo, LLC - MTI"/>
    <s v="MTMO-US"/>
    <s v="7291350"/>
    <s v="Software not capital"/>
    <s v="General &amp; Admin"/>
    <n v="6918.57"/>
    <n v="6073.19"/>
    <x v="10"/>
  </r>
  <r>
    <s v="Mettler-Toledo, LLC - MTI"/>
    <s v="MTMO-US"/>
    <s v="7291400"/>
    <s v="Office Equip not cap"/>
    <s v="Logistics&amp;Purch. Costs"/>
    <m/>
    <n v="21.49"/>
    <x v="10"/>
  </r>
  <r>
    <s v="Mettler-Toledo, LLC - MTI"/>
    <s v="MTMO-US"/>
    <s v="7291400"/>
    <s v="Office Equip not cap"/>
    <s v="Service"/>
    <n v="2088.8200000000002"/>
    <n v="-375.77"/>
    <x v="10"/>
  </r>
  <r>
    <s v="Mettler-Toledo, LLC - MTI"/>
    <s v="MTMO-US"/>
    <s v="7291400"/>
    <s v="Office Equip not cap"/>
    <s v="Marketing"/>
    <n v="2094.87"/>
    <n v="6358.98"/>
    <x v="10"/>
  </r>
  <r>
    <s v="Mettler-Toledo, LLC - MTI"/>
    <s v="MTMO-US"/>
    <s v="7291900"/>
    <s v="Other Capex not Cap."/>
    <s v="Service"/>
    <n v="8804.4500000000007"/>
    <n v="-2766.07"/>
    <x v="10"/>
  </r>
  <r>
    <s v="Mettler-Toledo, LLC - MTI"/>
    <s v="MTMO-US"/>
    <s v="7291900"/>
    <s v="Other Capex not Cap."/>
    <s v="Marketing"/>
    <n v="-3734.53"/>
    <n v="-4187.5"/>
    <x v="10"/>
  </r>
  <r>
    <s v="Mettler-Toledo, LLC - MTI"/>
    <s v="MTMO-US"/>
    <s v="TOP_16"/>
    <s v="Total Other Period E"/>
    <s v="Logistics&amp;Purch. Costs"/>
    <n v="37.96"/>
    <n v="-8274.59"/>
    <x v="0"/>
  </r>
  <r>
    <s v="Mettler-Toledo, LLC - MTI"/>
    <s v="MTMO-US"/>
    <s v="TOP_16"/>
    <s v="Total Other Period E"/>
    <s v="Service"/>
    <n v="-474010.28"/>
    <n v="-572564.26"/>
    <x v="0"/>
  </r>
  <r>
    <s v="Mettler-Toledo, LLC - MTI"/>
    <s v="MTMO-US"/>
    <s v="TOP_16"/>
    <s v="Total Other Period E"/>
    <s v="Marketing"/>
    <n v="117019.46"/>
    <n v="44656.76"/>
    <x v="0"/>
  </r>
  <r>
    <s v="Mettler-Toledo, LLC - MTI"/>
    <s v="MTMO-US"/>
    <s v="TOP_16"/>
    <s v="Total Other Period E"/>
    <s v="Promotion"/>
    <n v="241.67"/>
    <n v="0"/>
    <x v="0"/>
  </r>
  <r>
    <s v="Mettler-Toledo, LLC - MTI"/>
    <s v="MTMO-US"/>
    <s v="TOP_16"/>
    <s v="Total Other Period E"/>
    <s v="General &amp; Admin"/>
    <n v="-46087.14"/>
    <n v="-10580.92"/>
    <x v="0"/>
  </r>
  <r>
    <s v="Mettler-Toledo, LLC - MTI"/>
    <s v="MTMO-US"/>
    <s v="TOP_16_01"/>
    <s v="Other Period Expense"/>
    <s v="Logistics&amp;Purch. Costs"/>
    <n v="37.96"/>
    <n v="-14.63"/>
    <x v="0"/>
  </r>
  <r>
    <s v="Mettler-Toledo, LLC - MTI"/>
    <s v="MTMO-US"/>
    <s v="TOP_16_01"/>
    <s v="Other Period Expense"/>
    <s v="Service"/>
    <n v="99865.29"/>
    <n v="-8848.61"/>
    <x v="0"/>
  </r>
  <r>
    <s v="Mettler-Toledo, LLC - MTI"/>
    <s v="MTMO-US"/>
    <s v="TOP_16_01"/>
    <s v="Other Period Expense"/>
    <s v="Marketing"/>
    <n v="95450.7"/>
    <n v="49384.77"/>
    <x v="0"/>
  </r>
  <r>
    <s v="Mettler-Toledo, LLC - MTI"/>
    <s v="MTMO-US"/>
    <s v="TOP_16_01"/>
    <s v="Other Period Expense"/>
    <s v="Promotion"/>
    <n v="241.67"/>
    <m/>
    <x v="0"/>
  </r>
  <r>
    <s v="Mettler-Toledo, LLC - MTI"/>
    <s v="MTMO-US"/>
    <s v="TOP_16_01"/>
    <s v="Other Period Expense"/>
    <s v="General &amp; Admin"/>
    <n v="-14242.91"/>
    <n v="16054.75"/>
    <x v="0"/>
  </r>
  <r>
    <s v="Mettler-Toledo, LLC - MTI"/>
    <s v="MTMO-US"/>
    <s v="7299010"/>
    <s v="Books &amp; Periodicals"/>
    <s v="Logistics&amp;Purch. Costs"/>
    <n v="-71.069999999999993"/>
    <n v="-106.19"/>
    <x v="12"/>
  </r>
  <r>
    <s v="Mettler-Toledo, LLC - MTI"/>
    <s v="MTMO-US"/>
    <s v="7299010"/>
    <s v="Books &amp; Periodicals"/>
    <s v="Service"/>
    <n v="5875.51"/>
    <n v="1240.1300000000001"/>
    <x v="12"/>
  </r>
  <r>
    <s v="Mettler-Toledo, LLC - MTI"/>
    <s v="MTMO-US"/>
    <s v="7299010"/>
    <s v="Books &amp; Periodicals"/>
    <s v="Marketing"/>
    <n v="3611.52"/>
    <n v="-340.1"/>
    <x v="12"/>
  </r>
  <r>
    <s v="Mettler-Toledo, LLC - MTI"/>
    <s v="MTMO-US"/>
    <s v="7299010"/>
    <s v="Books &amp; Periodicals"/>
    <s v="General &amp; Admin"/>
    <n v="142.16999999999999"/>
    <n v="1410.32"/>
    <x v="12"/>
  </r>
  <r>
    <s v="Mettler-Toledo, LLC - MTI"/>
    <s v="MTMO-US"/>
    <s v="7299030"/>
    <s v="Misc Ship/Postage"/>
    <s v="Service"/>
    <n v="1818.97"/>
    <n v="3734.56"/>
    <x v="12"/>
  </r>
  <r>
    <s v="Mettler-Toledo, LLC - MTI"/>
    <s v="MTMO-US"/>
    <s v="7299030"/>
    <s v="Misc Ship/Postage"/>
    <s v="Marketing"/>
    <n v="626.08000000000004"/>
    <n v="543.39"/>
    <x v="12"/>
  </r>
  <r>
    <s v="Mettler-Toledo, LLC - MTI"/>
    <s v="MTMO-US"/>
    <s v="7299030"/>
    <s v="Misc Ship/Postage"/>
    <s v="General &amp; Admin"/>
    <n v="1194.6500000000001"/>
    <n v="441.15"/>
    <x v="12"/>
  </r>
  <r>
    <s v="Mettler-Toledo, LLC - MTI"/>
    <s v="MTMO-US"/>
    <s v="7299040"/>
    <s v="Office Supplies"/>
    <s v="Logistics&amp;Purch. Costs"/>
    <n v="-24.7"/>
    <n v="50.24"/>
    <x v="12"/>
  </r>
  <r>
    <s v="Mettler-Toledo, LLC - MTI"/>
    <s v="MTMO-US"/>
    <s v="7299040"/>
    <s v="Office Supplies"/>
    <s v="Service"/>
    <n v="55248.4"/>
    <n v="10767.59"/>
    <x v="12"/>
  </r>
  <r>
    <s v="Mettler-Toledo, LLC - MTI"/>
    <s v="MTMO-US"/>
    <s v="7299040"/>
    <s v="Office Supplies"/>
    <s v="Marketing"/>
    <n v="59111.74"/>
    <n v="9418.1299999999992"/>
    <x v="12"/>
  </r>
  <r>
    <s v="Mettler-Toledo, LLC - MTI"/>
    <s v="MTMO-US"/>
    <s v="7299040"/>
    <s v="Office Supplies"/>
    <s v="General &amp; Admin"/>
    <n v="1003.61"/>
    <n v="761.24"/>
    <x v="12"/>
  </r>
  <r>
    <s v="Mettler-Toledo, LLC - MTI"/>
    <s v="MTMO-US"/>
    <s v="7299050"/>
    <s v="Non Office Equipment"/>
    <s v="Service"/>
    <n v="360.13"/>
    <n v="1995.68"/>
    <x v="12"/>
  </r>
  <r>
    <s v="Mettler-Toledo, LLC - MTI"/>
    <s v="MTMO-US"/>
    <s v="7299050"/>
    <s v="Non Office Equipment"/>
    <s v="Marketing"/>
    <n v="7.51"/>
    <n v="1063.5899999999999"/>
    <x v="12"/>
  </r>
  <r>
    <s v="Mettler-Toledo, LLC - MTI"/>
    <s v="MTMO-US"/>
    <s v="7299050"/>
    <s v="Non Office Equipment"/>
    <s v="General &amp; Admin"/>
    <m/>
    <n v="123.6"/>
    <x v="12"/>
  </r>
  <r>
    <s v="Mettler-Toledo, LLC - MTI"/>
    <s v="MTMO-US"/>
    <s v="7299070"/>
    <s v="Record Retention"/>
    <s v="General &amp; Admin"/>
    <n v="3007.6"/>
    <n v="5104.16"/>
    <x v="12"/>
  </r>
  <r>
    <s v="Mettler-Toledo, LLC - MTI"/>
    <s v="MTMO-US"/>
    <s v="7299080"/>
    <s v="Weights&amp;Measures Exp"/>
    <s v="Service"/>
    <n v="14720.16"/>
    <n v="10573.32"/>
    <x v="12"/>
  </r>
  <r>
    <s v="Mettler-Toledo, LLC - MTI"/>
    <s v="MTMO-US"/>
    <s v="7299100"/>
    <s v="Product/Liab. Ins."/>
    <s v="General &amp; Admin"/>
    <n v="55253.33"/>
    <n v="22483.33"/>
    <x v="12"/>
  </r>
  <r>
    <s v="Mettler-Toledo, LLC - MTI"/>
    <s v="MTMO-US"/>
    <s v="7299210"/>
    <s v="Charitable Donations"/>
    <s v="Service"/>
    <n v="148.6"/>
    <n v="132.91999999999999"/>
    <x v="12"/>
  </r>
  <r>
    <s v="Mettler-Toledo, LLC - MTI"/>
    <s v="MTMO-US"/>
    <s v="7299210"/>
    <s v="Charitable Donations"/>
    <s v="Marketing"/>
    <n v="5561.9"/>
    <n v="2743.55"/>
    <x v="12"/>
  </r>
  <r>
    <s v="Mettler-Toledo, LLC - MTI"/>
    <s v="MTMO-US"/>
    <s v="7299230"/>
    <s v="Shop Supplies"/>
    <s v="Service"/>
    <n v="14992.17"/>
    <n v="31366.5"/>
    <x v="12"/>
  </r>
  <r>
    <s v="Mettler-Toledo, LLC - MTI"/>
    <s v="MTMO-US"/>
    <s v="7299230"/>
    <s v="Shop Supplies"/>
    <s v="Marketing"/>
    <n v="568.82000000000005"/>
    <n v="1492.04"/>
    <x v="12"/>
  </r>
  <r>
    <s v="Mettler-Toledo, LLC - MTI"/>
    <s v="MTMO-US"/>
    <s v="7299250"/>
    <s v="Uniforms"/>
    <s v="Service"/>
    <n v="23680.53"/>
    <n v="13469.98"/>
    <x v="12"/>
  </r>
  <r>
    <s v="Mettler-Toledo, LLC - MTI"/>
    <s v="MTMO-US"/>
    <s v="7299250"/>
    <s v="Uniforms"/>
    <s v="Marketing"/>
    <n v="1310.4100000000001"/>
    <n v="952.13"/>
    <x v="12"/>
  </r>
  <r>
    <s v="Mettler-Toledo, LLC - MTI"/>
    <s v="MTMO-US"/>
    <s v="7299260"/>
    <s v="Membership Fees"/>
    <s v="Service"/>
    <n v="10145.44"/>
    <n v="12915.43"/>
    <x v="12"/>
  </r>
  <r>
    <s v="Mettler-Toledo, LLC - MTI"/>
    <s v="MTMO-US"/>
    <s v="7299260"/>
    <s v="Membership Fees"/>
    <s v="Marketing"/>
    <n v="3769.97"/>
    <n v="4891.1499999999996"/>
    <x v="12"/>
  </r>
  <r>
    <s v="Mettler-Toledo, LLC - MTI"/>
    <s v="MTMO-US"/>
    <s v="7299260"/>
    <s v="Membership Fees"/>
    <s v="Promotion"/>
    <n v="241.67"/>
    <m/>
    <x v="12"/>
  </r>
  <r>
    <s v="Mettler-Toledo, LLC - MTI"/>
    <s v="MTMO-US"/>
    <s v="7299260"/>
    <s v="Membership Fees"/>
    <s v="General &amp; Admin"/>
    <n v="570"/>
    <n v="2853.34"/>
    <x v="12"/>
  </r>
  <r>
    <s v="Mettler-Toledo, LLC - MTI"/>
    <s v="MTMO-US"/>
    <s v="7299273"/>
    <s v="LseNotCap-OthEqExp"/>
    <s v="Marketing"/>
    <n v="1347.78"/>
    <n v="1758.55"/>
    <x v="12"/>
  </r>
  <r>
    <s v="Mettler-Toledo, LLC - MTI"/>
    <s v="MTMO-US"/>
    <s v="7299400"/>
    <s v="Restocking Inc/Exp"/>
    <s v="Marketing"/>
    <n v="1080"/>
    <n v="1050"/>
    <x v="12"/>
  </r>
  <r>
    <s v="Mettler-Toledo, LLC - MTI"/>
    <s v="MTMO-US"/>
    <s v="7299520"/>
    <s v="Sales and Use Tax"/>
    <s v="Service"/>
    <n v="124.05"/>
    <n v="230.94"/>
    <x v="12"/>
  </r>
  <r>
    <s v="Mettler-Toledo, LLC - MTI"/>
    <s v="MTMO-US"/>
    <s v="7299520"/>
    <s v="Sales and Use Tax"/>
    <s v="Marketing"/>
    <n v="-5306.54"/>
    <m/>
    <x v="12"/>
  </r>
  <r>
    <s v="Mettler-Toledo, LLC - MTI"/>
    <s v="MTMO-US"/>
    <s v="7299520"/>
    <s v="Sales and Use Tax"/>
    <s v="General &amp; Admin"/>
    <m/>
    <n v="135.03"/>
    <x v="12"/>
  </r>
  <r>
    <s v="Mettler-Toledo, LLC - MTI"/>
    <s v="MTMO-US"/>
    <s v="7299530"/>
    <s v="Other Taxes and Fees"/>
    <s v="Service"/>
    <n v="96.41"/>
    <n v="427.07"/>
    <x v="12"/>
  </r>
  <r>
    <s v="Mettler-Toledo, LLC - MTI"/>
    <s v="MTMO-US"/>
    <s v="7299530"/>
    <s v="Other Taxes and Fees"/>
    <s v="Marketing"/>
    <n v="3897.52"/>
    <n v="4536.12"/>
    <x v="12"/>
  </r>
  <r>
    <s v="Mettler-Toledo, LLC - MTI"/>
    <s v="MTMO-US"/>
    <s v="7299530"/>
    <s v="Other Taxes and Fees"/>
    <s v="General &amp; Admin"/>
    <n v="7906.96"/>
    <n v="9922.8700000000008"/>
    <x v="12"/>
  </r>
  <r>
    <s v="Mettler-Toledo, LLC - MTI"/>
    <s v="MTMO-US"/>
    <s v="7299800"/>
    <s v="AP Discounts Receivd"/>
    <s v="General &amp; Admin"/>
    <n v="-77.069999999999993"/>
    <n v="-441.81"/>
    <x v="12"/>
  </r>
  <r>
    <s v="Mettler-Toledo, LLC - MTI"/>
    <s v="MTMO-US"/>
    <s v="7299900"/>
    <s v="Other Misc Expense"/>
    <s v="Logistics&amp;Purch. Costs"/>
    <n v="113.73"/>
    <n v="41.32"/>
    <x v="12"/>
  </r>
  <r>
    <s v="Mettler-Toledo, LLC - MTI"/>
    <s v="MTMO-US"/>
    <s v="7299900"/>
    <s v="Other Misc Expense"/>
    <s v="Service"/>
    <n v="-27345.08"/>
    <n v="-95702.73"/>
    <x v="12"/>
  </r>
  <r>
    <s v="Mettler-Toledo, LLC - MTI"/>
    <s v="MTMO-US"/>
    <s v="7299900"/>
    <s v="Other Misc Expense"/>
    <s v="Marketing"/>
    <n v="25495.53"/>
    <n v="21276.22"/>
    <x v="12"/>
  </r>
  <r>
    <s v="Mettler-Toledo, LLC - MTI"/>
    <s v="MTMO-US"/>
    <s v="7299900"/>
    <s v="Other Misc Expense"/>
    <s v="General &amp; Admin"/>
    <n v="1471.63"/>
    <n v="-60279.57"/>
    <x v="12"/>
  </r>
  <r>
    <s v="Mettler-Toledo, LLC - MTI"/>
    <s v="MTMO-US"/>
    <s v="ZZZZZZ2"/>
    <s v="Free of Charge COPA"/>
    <s v="Marketing"/>
    <n v="-5631.54"/>
    <n v="0"/>
    <x v="12"/>
  </r>
  <r>
    <s v="Mettler-Toledo, LLC - MTI"/>
    <s v="MTMO-US"/>
    <s v="ZZZZZZ5"/>
    <s v="Prov. For Bad Debt"/>
    <s v="General &amp; Admin"/>
    <n v="-84486.76"/>
    <n v="52662.45"/>
    <x v="12"/>
  </r>
  <r>
    <s v="Mettler-Toledo, LLC - MTI"/>
    <s v="MTMO-US"/>
    <s v="ZZZZZZ6"/>
    <s v="Losses on Trade AR"/>
    <s v="General &amp; Admin"/>
    <n v="-228.98"/>
    <n v="47"/>
    <x v="12"/>
  </r>
  <r>
    <s v="Mettler-Toledo, LLC - MTI"/>
    <s v="MTMO-US"/>
    <s v="ZZZZZZ7"/>
    <s v="Net Loss/Gain on Dis"/>
    <s v="General &amp; Admin"/>
    <m/>
    <n v="-19168.36"/>
    <x v="12"/>
  </r>
  <r>
    <s v="Mettler-Toledo, LLC - MTI"/>
    <s v="MTMO-US"/>
    <s v="ZZZZZ11"/>
    <s v="Other Expense"/>
    <s v="General &amp; Admin"/>
    <n v="-0.05"/>
    <m/>
    <x v="12"/>
  </r>
  <r>
    <s v="Mettler-Toledo, LLC - MTI"/>
    <s v="MTMO-US"/>
    <s v="TOP_16_02"/>
    <s v="Other Period Expense"/>
    <s v="Logistics&amp;Purch. Costs"/>
    <n v="0"/>
    <n v="-8259.9599999999991"/>
    <x v="0"/>
  </r>
  <r>
    <s v="Mettler-Toledo, LLC - MTI"/>
    <s v="MTMO-US"/>
    <s v="TOP_16_02"/>
    <s v="Other Period Expense"/>
    <s v="Service"/>
    <n v="-573875.56999999995"/>
    <n v="-563715.65"/>
    <x v="0"/>
  </r>
  <r>
    <s v="Mettler-Toledo, LLC - MTI"/>
    <s v="MTMO-US"/>
    <s v="TOP_16_02"/>
    <s v="Other Period Expense"/>
    <s v="Marketing"/>
    <n v="21568.76"/>
    <n v="-4728.01"/>
    <x v="0"/>
  </r>
  <r>
    <s v="Mettler-Toledo, LLC - MTI"/>
    <s v="MTMO-US"/>
    <s v="TOP_16_02"/>
    <s v="Other Period Expense"/>
    <s v="Promotion"/>
    <n v="0"/>
    <n v="0"/>
    <x v="0"/>
  </r>
  <r>
    <s v="Mettler-Toledo, LLC - MTI"/>
    <s v="MTMO-US"/>
    <s v="TOP_16_02"/>
    <s v="Other Period Expense"/>
    <s v="General &amp; Admin"/>
    <n v="-31844.23"/>
    <n v="-26635.67"/>
    <x v="0"/>
  </r>
  <r>
    <s v="Mettler-Toledo, LLC - MTI"/>
    <s v="MTMO-US"/>
    <s v="ZZZZZZ3"/>
    <s v="Total PEX from COPA"/>
    <s v="Logistics&amp;Purch. Costs"/>
    <n v="141242.29999999999"/>
    <n v="101408.46"/>
    <x v="12"/>
  </r>
  <r>
    <s v="Mettler-Toledo, LLC - MTI"/>
    <s v="MTMO-US"/>
    <s v="ZZZZZZ3"/>
    <s v="Total PEX from COPA"/>
    <s v="Service"/>
    <n v="6853813.3200000003"/>
    <n v="5883161.9800000004"/>
    <x v="12"/>
  </r>
  <r>
    <s v="Mettler-Toledo, LLC - MTI"/>
    <s v="MTMO-US"/>
    <s v="ZZZZZZ3"/>
    <s v="Total PEX from COPA"/>
    <s v="Marketing"/>
    <n v="6537197.4100000001"/>
    <n v="5513403.75"/>
    <x v="12"/>
  </r>
  <r>
    <s v="Mettler-Toledo, LLC - MTI"/>
    <s v="MTMO-US"/>
    <s v="ZZZZZZ3"/>
    <s v="Total PEX from COPA"/>
    <s v="Promotion"/>
    <n v="139994.01"/>
    <n v="99431.43"/>
    <x v="12"/>
  </r>
  <r>
    <s v="Mettler-Toledo, LLC - MTI"/>
    <s v="MTMO-US"/>
    <s v="ZZZZZZ3"/>
    <s v="Total PEX from COPA"/>
    <s v="General &amp; Admin"/>
    <n v="792457.79"/>
    <n v="908120.09"/>
    <x v="12"/>
  </r>
  <r>
    <s v="Mettler-Toledo, LLC - MTI"/>
    <s v="MTMO-US"/>
    <s v="ZZZZZZ4"/>
    <s v="Total PEX  Cost Acco"/>
    <s v="Logistics&amp;Purch. Costs"/>
    <n v="-141242.29999999999"/>
    <n v="-109668.42"/>
    <x v="12"/>
  </r>
  <r>
    <s v="Mettler-Toledo, LLC - MTI"/>
    <s v="MTMO-US"/>
    <s v="ZZZZZZ4"/>
    <s v="Total PEX  Cost Acco"/>
    <s v="Service"/>
    <n v="-7427688.8899999997"/>
    <n v="-6446877.6299999999"/>
    <x v="12"/>
  </r>
  <r>
    <s v="Mettler-Toledo, LLC - MTI"/>
    <s v="MTMO-US"/>
    <s v="ZZZZZZ4"/>
    <s v="Total PEX  Cost Acco"/>
    <s v="Marketing"/>
    <n v="-6515628.6500000004"/>
    <n v="-5518131.7599999998"/>
    <x v="12"/>
  </r>
  <r>
    <s v="Mettler-Toledo, LLC - MTI"/>
    <s v="MTMO-US"/>
    <s v="ZZZZZZ4"/>
    <s v="Total PEX  Cost Acco"/>
    <s v="Promotion"/>
    <n v="-139994.01"/>
    <n v="-99431.43"/>
    <x v="12"/>
  </r>
  <r>
    <s v="Mettler-Toledo, LLC - MTI"/>
    <s v="MTMO-US"/>
    <s v="ZZZZZZ4"/>
    <s v="Total PEX  Cost Acco"/>
    <s v="General &amp; Admin"/>
    <n v="-824302.02"/>
    <n v="-934755.76"/>
    <x v="12"/>
  </r>
  <r>
    <s v="Mettler-Toledo, LLC - MTI"/>
    <s v="MTMO-US"/>
    <s v="TOP_14"/>
    <s v="Intercompany Charges"/>
    <s v="Logistics&amp;Purch. Costs"/>
    <n v="-11441.29"/>
    <n v="-5651.42"/>
    <x v="0"/>
  </r>
  <r>
    <s v="Mettler-Toledo, LLC - MTI"/>
    <s v="MTMO-US"/>
    <s v="TOP_14"/>
    <s v="Intercompany Charges"/>
    <s v="Service"/>
    <n v="93964.800000000003"/>
    <n v="-34272.949999999997"/>
    <x v="0"/>
  </r>
  <r>
    <s v="Mettler-Toledo, LLC - MTI"/>
    <s v="MTMO-US"/>
    <s v="TOP_14"/>
    <s v="Intercompany Charges"/>
    <s v="Marketing"/>
    <n v="10152.049999999999"/>
    <n v="-12474.98"/>
    <x v="0"/>
  </r>
  <r>
    <s v="Mettler-Toledo, LLC - MTI"/>
    <s v="MTMO-US"/>
    <s v="TOP_14"/>
    <s v="Intercompany Charges"/>
    <s v="General &amp; Admin"/>
    <n v="145273.49"/>
    <n v="141083.70000000001"/>
    <x v="0"/>
  </r>
  <r>
    <s v="Mettler-Toledo, LLC - MTI"/>
    <s v="MTMO-US"/>
    <s v="7292140"/>
    <s v="IC Alloc In Mkt Sell"/>
    <s v="Logistics&amp;Purch. Costs"/>
    <n v="16203"/>
    <n v="16203"/>
    <x v="11"/>
  </r>
  <r>
    <s v="Mettler-Toledo, LLC - MTI"/>
    <s v="MTMO-US"/>
    <s v="7292140"/>
    <s v="IC Alloc In Mkt Sell"/>
    <s v="Service"/>
    <n v="54392.74"/>
    <n v="15878.63"/>
    <x v="11"/>
  </r>
  <r>
    <s v="Mettler-Toledo, LLC - MTI"/>
    <s v="MTMO-US"/>
    <s v="7292140"/>
    <s v="IC Alloc In Mkt Sell"/>
    <s v="Marketing"/>
    <n v="55649.34"/>
    <n v="35494.400000000001"/>
    <x v="11"/>
  </r>
  <r>
    <s v="Mettler-Toledo, LLC - MTI"/>
    <s v="MTMO-US"/>
    <s v="7292140"/>
    <s v="IC Alloc In Mkt Sell"/>
    <s v="General &amp; Admin"/>
    <n v="118015.25"/>
    <n v="114577.91"/>
    <x v="11"/>
  </r>
  <r>
    <s v="Mettler-Toledo, LLC - MTI"/>
    <s v="MTMO-US"/>
    <s v="7292490"/>
    <s v="IC Alloc In Others"/>
    <s v="Logistics&amp;Purch. Costs"/>
    <n v="4086"/>
    <n v="4086"/>
    <x v="11"/>
  </r>
  <r>
    <s v="Mettler-Toledo, LLC - MTI"/>
    <s v="MTMO-US"/>
    <s v="7292490"/>
    <s v="IC Alloc In Others"/>
    <s v="Service"/>
    <n v="41045.71"/>
    <n v="51136.29"/>
    <x v="11"/>
  </r>
  <r>
    <s v="Mettler-Toledo, LLC - MTI"/>
    <s v="MTMO-US"/>
    <s v="7292490"/>
    <s v="IC Alloc In Others"/>
    <s v="Marketing"/>
    <n v="12258"/>
    <n v="20430"/>
    <x v="11"/>
  </r>
  <r>
    <s v="Mettler-Toledo, LLC - MTI"/>
    <s v="MTMO-US"/>
    <s v="7292540"/>
    <s v="IC Alloc Out Admin"/>
    <s v="Logistics&amp;Purch. Costs"/>
    <n v="-31730.29"/>
    <n v="-25940.42"/>
    <x v="11"/>
  </r>
  <r>
    <s v="Mettler-Toledo, LLC - MTI"/>
    <s v="MTMO-US"/>
    <s v="7292540"/>
    <s v="IC Alloc Out Admin"/>
    <s v="Service"/>
    <n v="-8666.65"/>
    <n v="-112247.67999999999"/>
    <x v="11"/>
  </r>
  <r>
    <s v="Mettler-Toledo, LLC - MTI"/>
    <s v="MTMO-US"/>
    <s v="7292540"/>
    <s v="IC Alloc Out Admin"/>
    <s v="Marketing"/>
    <n v="-8557.92"/>
    <n v="-7390.18"/>
    <x v="11"/>
  </r>
  <r>
    <s v="Mettler-Toledo, LLC - MTI"/>
    <s v="MTMO-US"/>
    <s v="7292540"/>
    <s v="IC Alloc Out Admin"/>
    <s v="General &amp; Admin"/>
    <n v="-43562.58"/>
    <n v="-29505.86"/>
    <x v="11"/>
  </r>
  <r>
    <s v="Mettler-Toledo, LLC - MTI"/>
    <s v="MTMO-US"/>
    <s v="7292550"/>
    <s v="IC Alloc Out MktSell"/>
    <s v="Marketing"/>
    <n v="-57897.99"/>
    <n v="-62180.34"/>
    <x v="11"/>
  </r>
  <r>
    <s v="Mettler-Toledo, LLC - MTI"/>
    <s v="MTMO-US"/>
    <s v="7292990"/>
    <s v="IC Alloc Out Others"/>
    <s v="Service"/>
    <n v="7193"/>
    <n v="10959.81"/>
    <x v="11"/>
  </r>
  <r>
    <s v="Mettler-Toledo, LLC - MTI"/>
    <s v="MTMO-US"/>
    <s v="7292990"/>
    <s v="IC Alloc Out Others"/>
    <s v="Marketing"/>
    <n v="8700.6200000000008"/>
    <n v="1171.1400000000001"/>
    <x v="11"/>
  </r>
  <r>
    <s v="Mettler-Toledo, LLC - MTI"/>
    <s v="MTMO-US"/>
    <s v="7292990"/>
    <s v="IC Alloc Out Others"/>
    <s v="General &amp; Admin"/>
    <n v="70820.820000000007"/>
    <n v="56011.65"/>
    <x v="11"/>
  </r>
  <r>
    <s v="Mettler-Toledo, LLC - MTI"/>
    <s v="MTMO-US"/>
    <s v="Not Assigned Cost Element (s)"/>
    <s v=""/>
    <s v="Fixed Manufacturing Costs"/>
    <n v="0"/>
    <n v="-12733.13"/>
    <x v="0"/>
  </r>
  <r>
    <s v="Mettler-Toledo, LLC - MTI"/>
    <s v="MTMO-US"/>
    <s v="Not Assigned Cost Element (s)"/>
    <s v=""/>
    <s v="Logistics&amp;Purch. Costs"/>
    <n v="-141242.29999999999"/>
    <n v="-109668.42"/>
    <x v="0"/>
  </r>
  <r>
    <s v="Mettler-Toledo, LLC - MTI"/>
    <s v="MTMO-US"/>
    <s v="Not Assigned Cost Element (s)"/>
    <s v=""/>
    <s v="Service"/>
    <n v="-7314437.4900000002"/>
    <n v="-6188612.8499999996"/>
    <x v="0"/>
  </r>
  <r>
    <s v="Mettler-Toledo, LLC - MTI"/>
    <s v="MTMO-US"/>
    <s v="Not Assigned Cost Element (s)"/>
    <s v=""/>
    <s v="Marketing"/>
    <n v="-6391675.1900000004"/>
    <n v="-5421838.4299999997"/>
    <x v="0"/>
  </r>
  <r>
    <s v="Mettler-Toledo, LLC - MTI"/>
    <s v="MTMO-US"/>
    <s v="Not Assigned Cost Element (s)"/>
    <s v=""/>
    <s v="Promotion"/>
    <n v="-139994.01"/>
    <n v="-99431.43"/>
    <x v="0"/>
  </r>
  <r>
    <s v="Mettler-Toledo, LLC - MTI"/>
    <s v="MTMO-US"/>
    <s v="Not Assigned Cost Element (s)"/>
    <s v=""/>
    <s v="General &amp; Admin"/>
    <n v="-909017.81"/>
    <n v="-901214.67"/>
    <x v="0"/>
  </r>
  <r>
    <m/>
    <m/>
    <m/>
    <m/>
    <m/>
    <m/>
    <m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90FFFE-1C78-4C7A-91D5-6C03A5F2ED2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7"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90EA3-0211-4088-9A3B-54FD342634A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F46" firstHeaderRow="0" firstDataRow="1" firstDataCol="1"/>
  <pivotFields count="12"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dataField="1" showAll="0"/>
    <pivotField dataField="1" showAll="0"/>
    <pivotField axis="axisRow" multipleItemSelectionAllowed="1" showAll="0" sortType="descending">
      <items count="25">
        <item x="8"/>
        <item x="14"/>
        <item x="17"/>
        <item x="10"/>
        <item x="18"/>
        <item x="9"/>
        <item x="13"/>
        <item x="6"/>
        <item x="11"/>
        <item x="1"/>
        <item x="16"/>
        <item x="7"/>
        <item x="5"/>
        <item x="15"/>
        <item x="4"/>
        <item x="2"/>
        <item x="3"/>
        <item h="1" m="1" x="22"/>
        <item h="1" x="20"/>
        <item m="1" x="21"/>
        <item m="1" x="23"/>
        <item h="1" x="0"/>
        <item x="12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7"/>
  </rowFields>
  <rowItems count="20">
    <i>
      <x v="1"/>
    </i>
    <i>
      <x v="13"/>
    </i>
    <i>
      <x v="16"/>
    </i>
    <i>
      <x v="4"/>
    </i>
    <i>
      <x v="15"/>
    </i>
    <i>
      <x v="9"/>
    </i>
    <i>
      <x v="11"/>
    </i>
    <i>
      <x v="8"/>
    </i>
    <i>
      <x v="14"/>
    </i>
    <i>
      <x v="6"/>
    </i>
    <i>
      <x v="5"/>
    </i>
    <i>
      <x v="23"/>
    </i>
    <i>
      <x v="3"/>
    </i>
    <i>
      <x v="10"/>
    </i>
    <i>
      <x v="2"/>
    </i>
    <i>
      <x/>
    </i>
    <i>
      <x v="7"/>
    </i>
    <i>
      <x v="12"/>
    </i>
    <i>
      <x v="2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Prior Yr JAN 2024" fld="6" baseField="0" baseItem="0" numFmtId="166"/>
    <dataField name="Sum of Actual JAN 2025" fld="5" baseField="0" baseItem="0" numFmtId="166"/>
    <dataField name="Sum of variance Amount" fld="8" baseField="0" baseItem="0" numFmtId="166"/>
    <dataField name="Sum of Variance %" fld="9" baseField="3" baseItem="1" numFmtId="10"/>
    <dataField name="Sum of % Dist" fld="10" showDataAs="percentOfCol" baseField="3" baseItem="89" numFmtId="10"/>
  </dataFields>
  <formats count="1">
    <format dxfId="0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0538D-ED52-4D4B-934E-F12D66E7A98B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O8" firstHeaderRow="0" firstDataRow="1" firstDataCol="1" rowPageCount="1" colPageCount="1"/>
  <pivotFields count="12">
    <pivotField showAll="0"/>
    <pivotField showAll="0"/>
    <pivotField showAll="0"/>
    <pivotField showAll="0"/>
    <pivotField axis="axisRow" showAll="0" sortType="descending">
      <items count="8">
        <item x="5"/>
        <item x="4"/>
        <item x="0"/>
        <item x="2"/>
        <item x="3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dataField="1" showAll="0"/>
    <pivotField axis="axisPage" multipleItemSelectionAllowed="1" showAll="0">
      <items count="25">
        <item h="1" x="8"/>
        <item h="1" x="14"/>
        <item h="1" x="17"/>
        <item h="1" x="10"/>
        <item h="1" x="18"/>
        <item h="1" x="9"/>
        <item h="1" x="13"/>
        <item h="1" x="6"/>
        <item x="11"/>
        <item h="1" x="1"/>
        <item h="1" x="16"/>
        <item h="1" x="7"/>
        <item h="1" x="5"/>
        <item h="1" x="15"/>
        <item h="1" x="4"/>
        <item h="1" x="2"/>
        <item h="1" x="3"/>
        <item h="1" m="1" x="22"/>
        <item h="1" x="20"/>
        <item h="1" m="1" x="21"/>
        <item h="1" m="1" x="23"/>
        <item h="1" x="0"/>
        <item h="1" x="12"/>
        <item h="1" x="19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4"/>
  </rowFields>
  <rowItems count="5">
    <i>
      <x v="5"/>
    </i>
    <i>
      <x v="3"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7" hier="-1"/>
  </pageFields>
  <dataFields count="5">
    <dataField name="Sum of Prior Yr JAN 2024" fld="6" baseField="0" baseItem="0" numFmtId="166"/>
    <dataField name="Sum of Actual JAN 2025" fld="5" baseField="0" baseItem="0" numFmtId="166"/>
    <dataField name="Sum of variance Amount" fld="8" baseField="0" baseItem="0" numFmtId="166"/>
    <dataField name="Sum of Variance %" fld="9" baseField="3" baseItem="1" numFmtId="10"/>
    <dataField name="Sum of % Distri" fld="11" showDataAs="percentOfCol" baseField="4" baseItem="3" numFmtId="10"/>
  </dataFields>
  <formats count="3">
    <format dxfId="3">
      <pivotArea collapsedLevelsAreSubtotals="1" fieldPosition="0">
        <references count="1">
          <reference field="4" count="1">
            <x v="1"/>
          </reference>
        </references>
      </pivotArea>
    </format>
    <format dxfId="2">
      <pivotArea dataOnly="0" labelOnly="1" fieldPosition="0">
        <references count="1">
          <reference field="4" count="1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667348-D24C-4D90-920C-E6816A53CD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1" firstHeaderRow="0" firstDataRow="1" firstDataCol="1" rowPageCount="1" colPageCount="1"/>
  <pivotFields count="12">
    <pivotField showAll="0"/>
    <pivotField showAll="0"/>
    <pivotField showAll="0"/>
    <pivotField axis="axisRow" showAll="0" sortType="descending">
      <items count="160">
        <item h="1" x="155"/>
        <item x="106"/>
        <item x="43"/>
        <item x="22"/>
        <item x="94"/>
        <item x="117"/>
        <item x="24"/>
        <item x="134"/>
        <item x="135"/>
        <item x="77"/>
        <item x="2"/>
        <item x="96"/>
        <item x="51"/>
        <item x="84"/>
        <item x="141"/>
        <item x="35"/>
        <item x="97"/>
        <item x="99"/>
        <item x="100"/>
        <item x="101"/>
        <item x="102"/>
        <item x="98"/>
        <item x="42"/>
        <item x="47"/>
        <item x="137"/>
        <item x="113"/>
        <item x="119"/>
        <item x="54"/>
        <item x="122"/>
        <item x="50"/>
        <item x="21"/>
        <item x="61"/>
        <item x="70"/>
        <item x="69"/>
        <item x="71"/>
        <item x="72"/>
        <item x="73"/>
        <item x="75"/>
        <item x="74"/>
        <item x="76"/>
        <item x="90"/>
        <item x="41"/>
        <item x="65"/>
        <item x="58"/>
        <item x="57"/>
        <item x="126"/>
        <item x="89"/>
        <item x="12"/>
        <item x="64"/>
        <item x="4"/>
        <item x="13"/>
        <item x="44"/>
        <item x="20"/>
        <item x="109"/>
        <item x="26"/>
        <item x="87"/>
        <item x="25"/>
        <item x="78"/>
        <item x="52"/>
        <item x="3"/>
        <item x="127"/>
        <item x="80"/>
        <item x="67"/>
        <item x="79"/>
        <item x="104"/>
        <item x="62"/>
        <item x="55"/>
        <item x="105"/>
        <item x="68"/>
        <item x="128"/>
        <item x="95"/>
        <item x="121"/>
        <item x="53"/>
        <item x="112"/>
        <item x="138"/>
        <item x="93"/>
        <item x="23"/>
        <item x="27"/>
        <item x="108"/>
        <item x="83"/>
        <item x="48"/>
        <item x="19"/>
        <item x="125"/>
        <item x="45"/>
        <item x="39"/>
        <item x="18"/>
        <item x="81"/>
        <item x="88"/>
        <item x="91"/>
        <item x="103"/>
        <item x="92"/>
        <item x="118"/>
        <item x="85"/>
        <item x="115"/>
        <item x="107"/>
        <item x="66"/>
        <item x="11"/>
        <item x="40"/>
        <item x="56"/>
        <item x="36"/>
        <item x="37"/>
        <item x="46"/>
        <item x="38"/>
        <item m="1" x="158"/>
        <item x="59"/>
        <item x="63"/>
        <item x="124"/>
        <item x="123"/>
        <item x="49"/>
        <item x="114"/>
        <item x="120"/>
        <item m="1" x="157"/>
        <item x="110"/>
        <item x="86"/>
        <item x="14"/>
        <item x="15"/>
        <item x="17"/>
        <item x="16"/>
        <item x="5"/>
        <item x="6"/>
        <item x="8"/>
        <item x="7"/>
        <item x="31"/>
        <item x="32"/>
        <item x="28"/>
        <item x="33"/>
        <item x="34"/>
        <item x="30"/>
        <item x="29"/>
        <item x="82"/>
        <item x="111"/>
        <item h="1" x="156"/>
        <item h="1" x="0"/>
        <item h="1" x="1"/>
        <item h="1" x="9"/>
        <item h="1" x="10"/>
        <item h="1" x="60"/>
        <item h="1" x="116"/>
        <item h="1" x="129"/>
        <item h="1" x="130"/>
        <item h="1" x="131"/>
        <item h="1" x="132"/>
        <item h="1" x="133"/>
        <item h="1" x="136"/>
        <item h="1" x="139"/>
        <item h="1" x="140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dataField="1" showAll="0"/>
    <pivotField dataField="1" showAll="0"/>
    <pivotField axis="axisPage" multipleItemSelectionAllowed="1" showAll="0">
      <items count="25">
        <item h="1" x="8"/>
        <item h="1" x="14"/>
        <item h="1" x="17"/>
        <item h="1" x="10"/>
        <item h="1" x="18"/>
        <item h="1" x="9"/>
        <item h="1" x="13"/>
        <item h="1" x="6"/>
        <item h="1" x="11"/>
        <item h="1" x="1"/>
        <item h="1" x="16"/>
        <item h="1" x="7"/>
        <item h="1" x="5"/>
        <item x="15"/>
        <item h="1" x="4"/>
        <item h="1" x="2"/>
        <item h="1" x="3"/>
        <item h="1" m="1" x="22"/>
        <item h="1" x="20"/>
        <item h="1" m="1" x="21"/>
        <item h="1" m="1" x="23"/>
        <item h="1" x="0"/>
        <item h="1" x="12"/>
        <item h="1" x="19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3"/>
  </rowFields>
  <rowItems count="8">
    <i>
      <x v="130"/>
    </i>
    <i>
      <x v="53"/>
    </i>
    <i>
      <x v="94"/>
    </i>
    <i>
      <x v="78"/>
    </i>
    <i>
      <x v="112"/>
    </i>
    <i>
      <x v="73"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7" hier="-1"/>
  </pageFields>
  <dataFields count="5">
    <dataField name="Sum of Prior Yr JAN 2024" fld="6" baseField="0" baseItem="0" numFmtId="166"/>
    <dataField name="Sum of Actual JAN 2025" fld="5" baseField="0" baseItem="0" numFmtId="166"/>
    <dataField name="Sum of variance Amount" fld="8" baseField="0" baseItem="0" numFmtId="166"/>
    <dataField name="Sum of Variance %" fld="9" baseField="3" baseItem="1" numFmtId="10"/>
    <dataField name="Sum of % Dist" fld="10" showDataAs="percentOfCol" baseField="3" baseItem="89" numFmtId="10"/>
  </dataFields>
  <formats count="8">
    <format dxfId="11">
      <pivotArea collapsedLevelsAreSubtotals="1" fieldPosition="0">
        <references count="1">
          <reference field="3" count="2">
            <x v="52"/>
            <x v="54"/>
          </reference>
        </references>
      </pivotArea>
    </format>
    <format dxfId="10">
      <pivotArea dataOnly="0" labelOnly="1" fieldPosition="0">
        <references count="1">
          <reference field="3" count="2">
            <x v="52"/>
            <x v="54"/>
          </reference>
        </references>
      </pivotArea>
    </format>
    <format dxfId="9">
      <pivotArea collapsedLevelsAreSubtotals="1" fieldPosition="0">
        <references count="1">
          <reference field="3" count="1">
            <x v="76"/>
          </reference>
        </references>
      </pivotArea>
    </format>
    <format dxfId="8">
      <pivotArea dataOnly="0" labelOnly="1" fieldPosition="0">
        <references count="1">
          <reference field="3" count="1">
            <x v="76"/>
          </reference>
        </references>
      </pivotArea>
    </format>
    <format dxfId="7">
      <pivotArea collapsedLevelsAreSubtotals="1" fieldPosition="0">
        <references count="1">
          <reference field="3" count="1">
            <x v="125"/>
          </reference>
        </references>
      </pivotArea>
    </format>
    <format dxfId="6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5">
      <pivotArea collapsedLevelsAreSubtotals="1" fieldPosition="0">
        <references count="1">
          <reference field="3" count="2">
            <x v="118"/>
            <x v="119"/>
          </reference>
        </references>
      </pivotArea>
    </format>
    <format dxfId="4">
      <pivotArea dataOnly="0" labelOnly="1" fieldPosition="0">
        <references count="1">
          <reference field="3" count="2">
            <x v="118"/>
            <x v="1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CE41B-55D7-46DD-A246-164851E572B6}">
  <dimension ref="A3:C20"/>
  <sheetViews>
    <sheetView workbookViewId="0">
      <selection activeCell="A3" sqref="A3"/>
    </sheetView>
  </sheetViews>
  <sheetFormatPr defaultRowHeight="14.5" x14ac:dyDescent="0.35"/>
  <sheetData>
    <row r="3" spans="1:3" x14ac:dyDescent="0.35">
      <c r="A3" s="7"/>
      <c r="B3" s="8"/>
      <c r="C3" s="9"/>
    </row>
    <row r="4" spans="1:3" x14ac:dyDescent="0.35">
      <c r="A4" s="10"/>
      <c r="B4" s="11"/>
      <c r="C4" s="12"/>
    </row>
    <row r="5" spans="1:3" x14ac:dyDescent="0.35">
      <c r="A5" s="10"/>
      <c r="B5" s="11"/>
      <c r="C5" s="12"/>
    </row>
    <row r="6" spans="1:3" x14ac:dyDescent="0.35">
      <c r="A6" s="10"/>
      <c r="B6" s="11"/>
      <c r="C6" s="12"/>
    </row>
    <row r="7" spans="1:3" x14ac:dyDescent="0.35">
      <c r="A7" s="10"/>
      <c r="B7" s="11"/>
      <c r="C7" s="12"/>
    </row>
    <row r="8" spans="1:3" x14ac:dyDescent="0.35">
      <c r="A8" s="10"/>
      <c r="B8" s="11"/>
      <c r="C8" s="12"/>
    </row>
    <row r="9" spans="1:3" x14ac:dyDescent="0.35">
      <c r="A9" s="10"/>
      <c r="B9" s="11"/>
      <c r="C9" s="12"/>
    </row>
    <row r="10" spans="1:3" x14ac:dyDescent="0.35">
      <c r="A10" s="10"/>
      <c r="B10" s="11"/>
      <c r="C10" s="12"/>
    </row>
    <row r="11" spans="1:3" x14ac:dyDescent="0.35">
      <c r="A11" s="10"/>
      <c r="B11" s="11"/>
      <c r="C11" s="12"/>
    </row>
    <row r="12" spans="1:3" x14ac:dyDescent="0.35">
      <c r="A12" s="10"/>
      <c r="B12" s="11"/>
      <c r="C12" s="12"/>
    </row>
    <row r="13" spans="1:3" x14ac:dyDescent="0.35">
      <c r="A13" s="10"/>
      <c r="B13" s="11"/>
      <c r="C13" s="12"/>
    </row>
    <row r="14" spans="1:3" x14ac:dyDescent="0.35">
      <c r="A14" s="10"/>
      <c r="B14" s="11"/>
      <c r="C14" s="12"/>
    </row>
    <row r="15" spans="1:3" x14ac:dyDescent="0.35">
      <c r="A15" s="10"/>
      <c r="B15" s="11"/>
      <c r="C15" s="12"/>
    </row>
    <row r="16" spans="1:3" x14ac:dyDescent="0.35">
      <c r="A16" s="10"/>
      <c r="B16" s="11"/>
      <c r="C16" s="12"/>
    </row>
    <row r="17" spans="1:3" x14ac:dyDescent="0.35">
      <c r="A17" s="10"/>
      <c r="B17" s="11"/>
      <c r="C17" s="12"/>
    </row>
    <row r="18" spans="1:3" x14ac:dyDescent="0.35">
      <c r="A18" s="10"/>
      <c r="B18" s="11"/>
      <c r="C18" s="12"/>
    </row>
    <row r="19" spans="1:3" x14ac:dyDescent="0.35">
      <c r="A19" s="10"/>
      <c r="B19" s="11"/>
      <c r="C19" s="12"/>
    </row>
    <row r="20" spans="1:3" x14ac:dyDescent="0.35">
      <c r="A20" s="13"/>
      <c r="B20" s="14"/>
      <c r="C20" s="15"/>
    </row>
  </sheetData>
  <pageMargins left="0.7" right="0.7" top="0.75" bottom="0.75" header="0.3" footer="0.3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4F10B-1E7C-4E70-8F77-5241252B7207}">
  <dimension ref="A1:C16"/>
  <sheetViews>
    <sheetView workbookViewId="0">
      <selection activeCell="C37" sqref="C37"/>
    </sheetView>
  </sheetViews>
  <sheetFormatPr defaultRowHeight="14.5" x14ac:dyDescent="0.35"/>
  <cols>
    <col min="1" max="1" width="15.6328125" bestFit="1" customWidth="1"/>
    <col min="2" max="2" width="15.26953125" bestFit="1" customWidth="1"/>
    <col min="3" max="3" width="33.08984375" bestFit="1" customWidth="1"/>
  </cols>
  <sheetData>
    <row r="1" spans="1:3" x14ac:dyDescent="0.35">
      <c r="A1" s="21" t="s">
        <v>162</v>
      </c>
    </row>
    <row r="2" spans="1:3" x14ac:dyDescent="0.35">
      <c r="A2" s="22" t="s">
        <v>163</v>
      </c>
      <c r="B2" s="22" t="s">
        <v>164</v>
      </c>
      <c r="C2" s="22" t="s">
        <v>165</v>
      </c>
    </row>
    <row r="3" spans="1:3" x14ac:dyDescent="0.35">
      <c r="A3">
        <v>1</v>
      </c>
      <c r="B3" t="s">
        <v>166</v>
      </c>
      <c r="C3" t="s">
        <v>167</v>
      </c>
    </row>
    <row r="4" spans="1:3" x14ac:dyDescent="0.35">
      <c r="A4">
        <v>2</v>
      </c>
      <c r="B4" t="s">
        <v>168</v>
      </c>
      <c r="C4" t="s">
        <v>169</v>
      </c>
    </row>
    <row r="5" spans="1:3" x14ac:dyDescent="0.35">
      <c r="A5">
        <v>3</v>
      </c>
      <c r="B5" t="s">
        <v>170</v>
      </c>
      <c r="C5" t="s">
        <v>171</v>
      </c>
    </row>
    <row r="6" spans="1:3" x14ac:dyDescent="0.35">
      <c r="A6">
        <v>4</v>
      </c>
      <c r="B6" t="s">
        <v>172</v>
      </c>
      <c r="C6" t="s">
        <v>171</v>
      </c>
    </row>
    <row r="8" spans="1:3" x14ac:dyDescent="0.35">
      <c r="A8" s="21" t="s">
        <v>173</v>
      </c>
    </row>
    <row r="9" spans="1:3" x14ac:dyDescent="0.35">
      <c r="A9" s="22" t="s">
        <v>163</v>
      </c>
      <c r="B9" s="22" t="s">
        <v>174</v>
      </c>
      <c r="C9" s="22" t="s">
        <v>165</v>
      </c>
    </row>
    <row r="12" spans="1:3" x14ac:dyDescent="0.35">
      <c r="A12" s="21" t="s">
        <v>175</v>
      </c>
      <c r="B12" t="s">
        <v>176</v>
      </c>
    </row>
    <row r="13" spans="1:3" x14ac:dyDescent="0.35">
      <c r="B13" t="s">
        <v>177</v>
      </c>
    </row>
    <row r="15" spans="1:3" x14ac:dyDescent="0.35">
      <c r="B15" t="s">
        <v>178</v>
      </c>
    </row>
    <row r="16" spans="1:3" x14ac:dyDescent="0.35">
      <c r="B16" t="s">
        <v>179</v>
      </c>
    </row>
  </sheetData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3D28-053F-45C9-997B-500FF0B91B55}">
  <dimension ref="A1:O46"/>
  <sheetViews>
    <sheetView zoomScale="85" zoomScaleNormal="85" workbookViewId="0">
      <selection activeCell="C30" sqref="C30"/>
    </sheetView>
  </sheetViews>
  <sheetFormatPr defaultRowHeight="14.5" x14ac:dyDescent="0.35"/>
  <cols>
    <col min="1" max="2" width="20.90625" bestFit="1" customWidth="1"/>
    <col min="3" max="3" width="20.26953125" bestFit="1" customWidth="1"/>
    <col min="4" max="4" width="21.36328125" bestFit="1" customWidth="1"/>
    <col min="5" max="5" width="16.36328125" bestFit="1" customWidth="1"/>
    <col min="6" max="6" width="12.26953125" customWidth="1"/>
    <col min="10" max="10" width="19.7265625" bestFit="1" customWidth="1"/>
    <col min="11" max="11" width="21.6328125" bestFit="1" customWidth="1"/>
    <col min="12" max="12" width="20.26953125" bestFit="1" customWidth="1"/>
    <col min="13" max="13" width="21.36328125" bestFit="1" customWidth="1"/>
    <col min="14" max="14" width="16.36328125" bestFit="1" customWidth="1"/>
    <col min="15" max="15" width="13.54296875" bestFit="1" customWidth="1"/>
  </cols>
  <sheetData>
    <row r="1" spans="1:15" x14ac:dyDescent="0.35">
      <c r="A1" s="16" t="s">
        <v>153</v>
      </c>
      <c r="B1" t="s">
        <v>193</v>
      </c>
      <c r="J1" s="16" t="s">
        <v>153</v>
      </c>
      <c r="K1" t="s">
        <v>189</v>
      </c>
    </row>
    <row r="3" spans="1:15" x14ac:dyDescent="0.35">
      <c r="A3" s="16" t="s">
        <v>154</v>
      </c>
      <c r="B3" t="s">
        <v>157</v>
      </c>
      <c r="C3" t="s">
        <v>156</v>
      </c>
      <c r="D3" t="s">
        <v>158</v>
      </c>
      <c r="E3" t="s">
        <v>159</v>
      </c>
      <c r="F3" t="s">
        <v>160</v>
      </c>
      <c r="J3" s="16" t="s">
        <v>154</v>
      </c>
      <c r="K3" t="s">
        <v>157</v>
      </c>
      <c r="L3" t="s">
        <v>156</v>
      </c>
      <c r="M3" t="s">
        <v>158</v>
      </c>
      <c r="N3" t="s">
        <v>159</v>
      </c>
      <c r="O3" t="s">
        <v>161</v>
      </c>
    </row>
    <row r="4" spans="1:15" x14ac:dyDescent="0.35">
      <c r="A4" s="17" t="s">
        <v>120</v>
      </c>
      <c r="B4" s="23">
        <v>31922.11</v>
      </c>
      <c r="C4" s="23">
        <v>101727.90999999999</v>
      </c>
      <c r="D4" s="23">
        <v>69805.799999999988</v>
      </c>
      <c r="E4" s="18">
        <v>2.1867539457761405</v>
      </c>
      <c r="F4" s="18">
        <v>0.41066950746344349</v>
      </c>
      <c r="G4" s="18"/>
      <c r="J4" s="17" t="s">
        <v>10</v>
      </c>
      <c r="K4" s="23">
        <v>-34272.949999999997</v>
      </c>
      <c r="L4" s="23">
        <v>93964.799999999988</v>
      </c>
      <c r="M4" s="23">
        <v>128237.74999999999</v>
      </c>
      <c r="N4" s="18">
        <v>-3.7416606974304809</v>
      </c>
      <c r="O4" s="18">
        <v>0.85912978755191316</v>
      </c>
    </row>
    <row r="5" spans="1:15" x14ac:dyDescent="0.35">
      <c r="A5" s="17" t="s">
        <v>118</v>
      </c>
      <c r="B5" s="23">
        <v>868009.69</v>
      </c>
      <c r="C5" s="23">
        <v>932160.43</v>
      </c>
      <c r="D5" s="23">
        <v>64150.740000000107</v>
      </c>
      <c r="E5" s="18">
        <v>7.3905557436807087E-2</v>
      </c>
      <c r="F5" s="18">
        <v>0.3774006285898231</v>
      </c>
      <c r="G5" s="18"/>
      <c r="J5" s="17" t="s">
        <v>11</v>
      </c>
      <c r="K5" s="23">
        <v>-12474.980000000003</v>
      </c>
      <c r="L5" s="23">
        <v>10152.050000000003</v>
      </c>
      <c r="M5" s="23">
        <v>22627.030000000006</v>
      </c>
      <c r="N5" s="18">
        <v>-1.8137928878443093</v>
      </c>
      <c r="O5" s="18">
        <v>0.15158996065379168</v>
      </c>
    </row>
    <row r="6" spans="1:15" x14ac:dyDescent="0.35">
      <c r="A6" s="17" t="s">
        <v>116</v>
      </c>
      <c r="B6" s="23">
        <v>599108.84000000008</v>
      </c>
      <c r="C6" s="23">
        <v>627186.18999999994</v>
      </c>
      <c r="D6" s="23">
        <v>28077.34999999986</v>
      </c>
      <c r="E6" s="18">
        <v>4.6865190638815904E-2</v>
      </c>
      <c r="F6" s="18">
        <v>0.16517984888617651</v>
      </c>
      <c r="G6" s="18"/>
      <c r="J6" s="19" t="s">
        <v>12</v>
      </c>
      <c r="K6" s="24">
        <v>141083.70000000001</v>
      </c>
      <c r="L6" s="24">
        <v>145273.49</v>
      </c>
      <c r="M6" s="24">
        <v>4189.789999999979</v>
      </c>
      <c r="N6" s="20">
        <v>2.9697193935231205E-2</v>
      </c>
      <c r="O6" s="20">
        <v>2.8069530170227664E-2</v>
      </c>
    </row>
    <row r="7" spans="1:15" x14ac:dyDescent="0.35">
      <c r="A7" s="17" t="s">
        <v>117</v>
      </c>
      <c r="B7" s="23">
        <v>432097.78</v>
      </c>
      <c r="C7" s="23">
        <v>438806.18</v>
      </c>
      <c r="D7" s="23">
        <v>6708.3999999999651</v>
      </c>
      <c r="E7" s="18">
        <v>1.5525189692018238E-2</v>
      </c>
      <c r="F7" s="18">
        <v>3.9465708062478337E-2</v>
      </c>
      <c r="G7" s="18"/>
      <c r="J7" s="17" t="s">
        <v>29</v>
      </c>
      <c r="K7" s="23">
        <v>-5651.4199999999983</v>
      </c>
      <c r="L7" s="23">
        <v>-11441.29</v>
      </c>
      <c r="M7" s="23">
        <v>-5789.8700000000026</v>
      </c>
      <c r="N7" s="18">
        <v>1.0244982676920145</v>
      </c>
      <c r="O7" s="18">
        <v>-3.8789278375932192E-2</v>
      </c>
    </row>
    <row r="8" spans="1:15" x14ac:dyDescent="0.35">
      <c r="A8" s="17" t="s">
        <v>119</v>
      </c>
      <c r="B8" s="23">
        <v>2030.26</v>
      </c>
      <c r="C8" s="23">
        <v>3127.23</v>
      </c>
      <c r="D8" s="23">
        <v>1096.97</v>
      </c>
      <c r="E8" s="18">
        <v>0.54031010806497692</v>
      </c>
      <c r="F8" s="18">
        <v>6.453505720186198E-3</v>
      </c>
      <c r="G8" s="18"/>
      <c r="J8" s="17" t="s">
        <v>155</v>
      </c>
      <c r="K8" s="23">
        <v>88684.35000000002</v>
      </c>
      <c r="L8" s="23">
        <v>237949.05</v>
      </c>
      <c r="M8" s="23">
        <v>149264.69999999992</v>
      </c>
      <c r="N8" s="18">
        <v>1.6831007951233765</v>
      </c>
      <c r="O8" s="18">
        <v>1</v>
      </c>
    </row>
    <row r="9" spans="1:15" x14ac:dyDescent="0.35">
      <c r="A9" s="17" t="s">
        <v>121</v>
      </c>
      <c r="B9" s="23">
        <v>1958.01</v>
      </c>
      <c r="C9" s="23">
        <v>2099.23</v>
      </c>
      <c r="D9" s="23">
        <v>141.22000000000003</v>
      </c>
      <c r="E9" s="18">
        <v>7.212424859934323E-2</v>
      </c>
      <c r="F9" s="18">
        <v>8.308012778879049E-4</v>
      </c>
      <c r="G9" s="18"/>
    </row>
    <row r="10" spans="1:15" x14ac:dyDescent="0.35">
      <c r="A10" s="17" t="s">
        <v>115</v>
      </c>
      <c r="B10" s="23"/>
      <c r="C10" s="23"/>
      <c r="D10" s="23">
        <v>0</v>
      </c>
      <c r="E10" s="18" t="e">
        <v>#DIV/0!</v>
      </c>
      <c r="F10" s="18">
        <v>0</v>
      </c>
      <c r="G10" s="18"/>
    </row>
    <row r="11" spans="1:15" x14ac:dyDescent="0.35">
      <c r="A11" s="17" t="s">
        <v>155</v>
      </c>
      <c r="B11" s="23">
        <v>1935126.6900000002</v>
      </c>
      <c r="C11" s="23">
        <v>2105107.17</v>
      </c>
      <c r="D11" s="23">
        <v>169980.48000000068</v>
      </c>
      <c r="E11" s="18">
        <v>8.783945820105489E-2</v>
      </c>
      <c r="F11" s="18">
        <v>1</v>
      </c>
      <c r="G11" s="18"/>
    </row>
    <row r="12" spans="1:15" x14ac:dyDescent="0.35">
      <c r="G12" s="18"/>
    </row>
    <row r="26" spans="1:6" x14ac:dyDescent="0.35">
      <c r="A26" s="16" t="s">
        <v>154</v>
      </c>
      <c r="B26" t="s">
        <v>157</v>
      </c>
      <c r="C26" t="s">
        <v>156</v>
      </c>
      <c r="D26" t="s">
        <v>158</v>
      </c>
      <c r="E26" t="s">
        <v>159</v>
      </c>
      <c r="F26" t="s">
        <v>160</v>
      </c>
    </row>
    <row r="27" spans="1:6" x14ac:dyDescent="0.35">
      <c r="A27" s="17" t="s">
        <v>182</v>
      </c>
      <c r="B27" s="23">
        <v>7239250.1100000003</v>
      </c>
      <c r="C27" s="23">
        <v>7681633.1500000004</v>
      </c>
      <c r="D27" s="23">
        <v>442383.04000000004</v>
      </c>
      <c r="E27" s="18">
        <v>6.1108959253792103E-2</v>
      </c>
      <c r="F27" s="18">
        <v>0.14604074325188734</v>
      </c>
    </row>
    <row r="28" spans="1:6" x14ac:dyDescent="0.35">
      <c r="A28" s="17" t="s">
        <v>193</v>
      </c>
      <c r="B28" s="23">
        <v>1935126.69</v>
      </c>
      <c r="C28" s="23">
        <v>2095862.12</v>
      </c>
      <c r="D28" s="23">
        <v>160735.43000000017</v>
      </c>
      <c r="E28" s="18">
        <v>8.3061967379510521E-2</v>
      </c>
      <c r="F28" s="18">
        <v>5.3062435811535025E-2</v>
      </c>
    </row>
    <row r="29" spans="1:6" x14ac:dyDescent="0.35">
      <c r="A29" s="17" t="s">
        <v>196</v>
      </c>
      <c r="B29" s="23">
        <v>1563515.92</v>
      </c>
      <c r="C29" s="23">
        <v>2213367.3399999994</v>
      </c>
      <c r="D29" s="23">
        <v>649851.41999999946</v>
      </c>
      <c r="E29" s="18">
        <v>0.41563466779410824</v>
      </c>
      <c r="F29" s="18">
        <v>0.2145307929980641</v>
      </c>
    </row>
    <row r="30" spans="1:6" x14ac:dyDescent="0.35">
      <c r="A30" s="17" t="s">
        <v>185</v>
      </c>
      <c r="B30" s="23">
        <v>1096611.05</v>
      </c>
      <c r="C30" s="23">
        <v>1403785.58</v>
      </c>
      <c r="D30" s="23">
        <v>307174.53000000003</v>
      </c>
      <c r="E30" s="18">
        <v>0.28011256133156787</v>
      </c>
      <c r="F30" s="18">
        <v>0.10140532663559879</v>
      </c>
    </row>
    <row r="31" spans="1:6" x14ac:dyDescent="0.35">
      <c r="A31" s="17" t="s">
        <v>195</v>
      </c>
      <c r="B31" s="23">
        <v>888787.60999999987</v>
      </c>
      <c r="C31" s="23">
        <v>1242131.8700000001</v>
      </c>
      <c r="D31" s="23">
        <v>353344.26000000024</v>
      </c>
      <c r="E31" s="18">
        <v>0.39755758971482547</v>
      </c>
      <c r="F31" s="18">
        <v>0.11664700878719979</v>
      </c>
    </row>
    <row r="32" spans="1:6" x14ac:dyDescent="0.35">
      <c r="A32" s="17" t="s">
        <v>190</v>
      </c>
      <c r="B32" s="23">
        <v>541614</v>
      </c>
      <c r="C32" s="23">
        <v>537374.27999999991</v>
      </c>
      <c r="D32" s="23">
        <v>-4239.7200000000885</v>
      </c>
      <c r="E32" s="18">
        <v>-7.8279365009030211E-3</v>
      </c>
      <c r="F32" s="18">
        <v>-1.3996283853465645E-3</v>
      </c>
    </row>
    <row r="33" spans="1:6" x14ac:dyDescent="0.35">
      <c r="A33" s="17" t="s">
        <v>180</v>
      </c>
      <c r="B33" s="23">
        <v>313130.56</v>
      </c>
      <c r="C33" s="23">
        <v>354853.77999999997</v>
      </c>
      <c r="D33" s="23">
        <v>41723.219999999972</v>
      </c>
      <c r="E33" s="18">
        <v>0.13324544241226399</v>
      </c>
      <c r="F33" s="18">
        <v>1.3773787665236908E-2</v>
      </c>
    </row>
    <row r="34" spans="1:6" x14ac:dyDescent="0.35">
      <c r="A34" s="17" t="s">
        <v>189</v>
      </c>
      <c r="B34" s="23">
        <v>177368.70000000007</v>
      </c>
      <c r="C34" s="23">
        <v>475898.10000000003</v>
      </c>
      <c r="D34" s="23">
        <v>298529.39999999997</v>
      </c>
      <c r="E34" s="18">
        <v>1.6831007951233776</v>
      </c>
      <c r="F34" s="18">
        <v>9.8551371812400326E-2</v>
      </c>
    </row>
    <row r="35" spans="1:6" x14ac:dyDescent="0.35">
      <c r="A35" s="17" t="s">
        <v>194</v>
      </c>
      <c r="B35" s="23">
        <v>168601.45999999996</v>
      </c>
      <c r="C35" s="23">
        <v>171151.32</v>
      </c>
      <c r="D35" s="23">
        <v>2549.8600000000442</v>
      </c>
      <c r="E35" s="18">
        <v>1.5123593828903052E-2</v>
      </c>
      <c r="F35" s="18">
        <v>8.4176701165637779E-4</v>
      </c>
    </row>
    <row r="36" spans="1:6" x14ac:dyDescent="0.35">
      <c r="A36" s="17" t="s">
        <v>187</v>
      </c>
      <c r="B36" s="23">
        <v>160816.62</v>
      </c>
      <c r="C36" s="23">
        <v>149204.15999999997</v>
      </c>
      <c r="D36" s="23">
        <v>-11612.460000000021</v>
      </c>
      <c r="E36" s="18">
        <v>-7.2209327618003791E-2</v>
      </c>
      <c r="F36" s="18">
        <v>-3.8335382147173056E-3</v>
      </c>
    </row>
    <row r="37" spans="1:6" x14ac:dyDescent="0.35">
      <c r="A37" s="17" t="s">
        <v>186</v>
      </c>
      <c r="B37" s="23">
        <v>145808.98000000001</v>
      </c>
      <c r="C37" s="23">
        <v>177819.31999999998</v>
      </c>
      <c r="D37" s="23">
        <v>32010.339999999967</v>
      </c>
      <c r="E37" s="18">
        <v>0.21953613556586135</v>
      </c>
      <c r="F37" s="18">
        <v>1.0567344185133349E-2</v>
      </c>
    </row>
    <row r="38" spans="1:6" x14ac:dyDescent="0.35">
      <c r="A38" s="17" t="s">
        <v>357</v>
      </c>
      <c r="B38" s="23">
        <v>96293.33</v>
      </c>
      <c r="C38" s="23">
        <v>129585</v>
      </c>
      <c r="D38" s="23">
        <v>33291.67</v>
      </c>
      <c r="E38" s="18">
        <v>0.34573183833189691</v>
      </c>
      <c r="F38" s="18">
        <v>1.0990340477104546E-2</v>
      </c>
    </row>
    <row r="39" spans="1:6" x14ac:dyDescent="0.35">
      <c r="A39" s="17" t="s">
        <v>184</v>
      </c>
      <c r="B39" s="23">
        <v>82593.16</v>
      </c>
      <c r="C39" s="23">
        <v>187309.94000000003</v>
      </c>
      <c r="D39" s="23">
        <v>104716.78000000003</v>
      </c>
      <c r="E39" s="18">
        <v>1.267862617194935</v>
      </c>
      <c r="F39" s="18">
        <v>3.4569400269378256E-2</v>
      </c>
    </row>
    <row r="40" spans="1:6" x14ac:dyDescent="0.35">
      <c r="A40" s="17" t="s">
        <v>191</v>
      </c>
      <c r="B40" s="23">
        <v>68570.8</v>
      </c>
      <c r="C40" s="23">
        <v>80570.39</v>
      </c>
      <c r="D40" s="23">
        <v>11999.589999999997</v>
      </c>
      <c r="E40" s="18">
        <v>0.1749956249598954</v>
      </c>
      <c r="F40" s="18">
        <v>3.961338667770614E-3</v>
      </c>
    </row>
    <row r="41" spans="1:6" x14ac:dyDescent="0.35">
      <c r="A41" s="17" t="s">
        <v>183</v>
      </c>
      <c r="B41" s="23">
        <v>58998.840000000004</v>
      </c>
      <c r="C41" s="23">
        <v>324186.78999999998</v>
      </c>
      <c r="D41" s="23">
        <v>265187.94999999995</v>
      </c>
      <c r="E41" s="18">
        <v>4.4947993892761273</v>
      </c>
      <c r="F41" s="18">
        <v>8.7544597820577219E-2</v>
      </c>
    </row>
    <row r="42" spans="1:6" x14ac:dyDescent="0.35">
      <c r="A42" s="17" t="s">
        <v>181</v>
      </c>
      <c r="B42" s="23">
        <v>43841.66</v>
      </c>
      <c r="C42" s="23">
        <v>44727.16</v>
      </c>
      <c r="D42" s="23">
        <v>885.5</v>
      </c>
      <c r="E42" s="18">
        <v>2.0197684120537403E-2</v>
      </c>
      <c r="F42" s="18">
        <v>2.9232377025472365E-4</v>
      </c>
    </row>
    <row r="43" spans="1:6" x14ac:dyDescent="0.35">
      <c r="A43" s="17" t="s">
        <v>188</v>
      </c>
      <c r="B43" s="23">
        <v>30894.979999999996</v>
      </c>
      <c r="C43" s="23">
        <v>83630.3</v>
      </c>
      <c r="D43" s="23">
        <v>52735.320000000007</v>
      </c>
      <c r="E43" s="18">
        <v>1.706921965963403</v>
      </c>
      <c r="F43" s="18">
        <v>1.7409133334827031E-2</v>
      </c>
    </row>
    <row r="44" spans="1:6" x14ac:dyDescent="0.35">
      <c r="A44" s="17" t="s">
        <v>192</v>
      </c>
      <c r="B44" s="23"/>
      <c r="C44" s="23"/>
      <c r="D44" s="23">
        <v>0</v>
      </c>
      <c r="E44" s="18" t="e">
        <v>#DIV/0!</v>
      </c>
      <c r="F44" s="18">
        <v>0</v>
      </c>
    </row>
    <row r="45" spans="1:6" x14ac:dyDescent="0.35">
      <c r="A45" s="17" t="s">
        <v>353</v>
      </c>
      <c r="B45" s="23">
        <v>-1093526.02</v>
      </c>
      <c r="C45" s="23">
        <v>-805616.66000000038</v>
      </c>
      <c r="D45" s="23">
        <v>287909.35999999964</v>
      </c>
      <c r="E45" s="18">
        <v>-0.26328533087854611</v>
      </c>
      <c r="F45" s="18">
        <v>9.5045454101439206E-2</v>
      </c>
    </row>
    <row r="46" spans="1:6" x14ac:dyDescent="0.35">
      <c r="A46" s="17" t="s">
        <v>155</v>
      </c>
      <c r="B46" s="23">
        <v>13518298.449999999</v>
      </c>
      <c r="C46" s="23">
        <v>16547473.940000001</v>
      </c>
      <c r="D46" s="23">
        <v>3029175.49</v>
      </c>
      <c r="E46" s="18">
        <v>0.2240796429524014</v>
      </c>
      <c r="F46" s="18">
        <v>1</v>
      </c>
    </row>
  </sheetData>
  <pageMargins left="0.7" right="0.7" top="0.75" bottom="0.75" header="0.3" footer="0.3"/>
  <customProperties>
    <customPr name="_pios_id" r:id="rId4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B37A7-C7B6-4230-BB9C-AED57E531F60}">
  <dimension ref="A1:H710"/>
  <sheetViews>
    <sheetView topLeftCell="A624" workbookViewId="0">
      <selection activeCell="B707" sqref="B707"/>
    </sheetView>
  </sheetViews>
  <sheetFormatPr defaultRowHeight="14.5" x14ac:dyDescent="0.35"/>
  <cols>
    <col min="1" max="1" width="21.08984375" bestFit="1" customWidth="1"/>
    <col min="2" max="2" width="12.26953125" bestFit="1" customWidth="1"/>
    <col min="3" max="3" width="28.453125" bestFit="1" customWidth="1"/>
    <col min="4" max="4" width="20.54296875" bestFit="1" customWidth="1"/>
    <col min="5" max="5" width="25.08984375" bestFit="1" customWidth="1"/>
    <col min="6" max="6" width="13.6328125" bestFit="1" customWidth="1"/>
    <col min="7" max="7" width="14.7265625" bestFit="1" customWidth="1"/>
    <col min="8" max="8" width="28.9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t="s">
        <v>153</v>
      </c>
    </row>
    <row r="2" spans="1:8" x14ac:dyDescent="0.35">
      <c r="A2" s="4" t="s">
        <v>7</v>
      </c>
      <c r="B2" s="4" t="s">
        <v>8</v>
      </c>
      <c r="C2" s="25" t="s">
        <v>197</v>
      </c>
      <c r="D2" s="3" t="s">
        <v>198</v>
      </c>
      <c r="E2" s="5" t="s">
        <v>29</v>
      </c>
      <c r="F2" s="6">
        <v>141242.29999999999</v>
      </c>
      <c r="G2" s="6">
        <v>101408.46</v>
      </c>
      <c r="H2" t="str">
        <f>IFERROR(VLOOKUP(C2,Sheet4!B:C,2,0),"")</f>
        <v/>
      </c>
    </row>
    <row r="3" spans="1:8" x14ac:dyDescent="0.35">
      <c r="A3" s="4" t="s">
        <v>7</v>
      </c>
      <c r="B3" s="4" t="s">
        <v>8</v>
      </c>
      <c r="C3" s="25" t="s">
        <v>197</v>
      </c>
      <c r="D3" s="3" t="s">
        <v>198</v>
      </c>
      <c r="E3" s="5" t="s">
        <v>10</v>
      </c>
      <c r="F3" s="6">
        <v>6853813.3200000003</v>
      </c>
      <c r="G3" s="6">
        <v>5883161.9800000004</v>
      </c>
      <c r="H3" t="str">
        <f>IFERROR(VLOOKUP(C3,Sheet4!B:C,2,0),"")</f>
        <v/>
      </c>
    </row>
    <row r="4" spans="1:8" x14ac:dyDescent="0.35">
      <c r="A4" s="4" t="s">
        <v>7</v>
      </c>
      <c r="B4" s="4" t="s">
        <v>8</v>
      </c>
      <c r="C4" s="25" t="s">
        <v>197</v>
      </c>
      <c r="D4" s="3" t="s">
        <v>198</v>
      </c>
      <c r="E4" s="5" t="s">
        <v>11</v>
      </c>
      <c r="F4" s="6">
        <v>6537197.4100000001</v>
      </c>
      <c r="G4" s="6">
        <v>5513403.75</v>
      </c>
      <c r="H4" t="str">
        <f>IFERROR(VLOOKUP(C4,Sheet4!B:C,2,0),"")</f>
        <v/>
      </c>
    </row>
    <row r="5" spans="1:8" x14ac:dyDescent="0.35">
      <c r="A5" s="4" t="s">
        <v>7</v>
      </c>
      <c r="B5" s="4" t="s">
        <v>8</v>
      </c>
      <c r="C5" s="25" t="s">
        <v>197</v>
      </c>
      <c r="D5" s="3" t="s">
        <v>198</v>
      </c>
      <c r="E5" s="5" t="s">
        <v>30</v>
      </c>
      <c r="F5" s="6">
        <v>139994.01</v>
      </c>
      <c r="G5" s="6">
        <v>99431.43</v>
      </c>
      <c r="H5" t="str">
        <f>IFERROR(VLOOKUP(C5,Sheet4!B:C,2,0),"")</f>
        <v/>
      </c>
    </row>
    <row r="6" spans="1:8" x14ac:dyDescent="0.35">
      <c r="A6" s="4" t="s">
        <v>7</v>
      </c>
      <c r="B6" s="4" t="s">
        <v>8</v>
      </c>
      <c r="C6" s="25" t="s">
        <v>197</v>
      </c>
      <c r="D6" s="3" t="s">
        <v>198</v>
      </c>
      <c r="E6" s="5" t="s">
        <v>12</v>
      </c>
      <c r="F6" s="6">
        <v>792457.79</v>
      </c>
      <c r="G6" s="6">
        <v>908120.09</v>
      </c>
      <c r="H6" t="str">
        <f>IFERROR(VLOOKUP(C6,Sheet4!B:C,2,0),"")</f>
        <v/>
      </c>
    </row>
    <row r="7" spans="1:8" x14ac:dyDescent="0.35">
      <c r="A7" s="4" t="s">
        <v>7</v>
      </c>
      <c r="B7" s="4" t="s">
        <v>8</v>
      </c>
      <c r="C7" s="26" t="s">
        <v>199</v>
      </c>
      <c r="D7" s="27" t="s">
        <v>200</v>
      </c>
      <c r="E7" s="5" t="s">
        <v>29</v>
      </c>
      <c r="F7" s="6">
        <v>129785.7</v>
      </c>
      <c r="G7" s="6">
        <v>103990.79</v>
      </c>
      <c r="H7" t="str">
        <f>IFERROR(VLOOKUP(C7,Sheet4!B:C,2,0),"")</f>
        <v/>
      </c>
    </row>
    <row r="8" spans="1:8" x14ac:dyDescent="0.35">
      <c r="A8" s="4" t="s">
        <v>7</v>
      </c>
      <c r="B8" s="4" t="s">
        <v>8</v>
      </c>
      <c r="C8" s="26" t="s">
        <v>199</v>
      </c>
      <c r="D8" s="27" t="s">
        <v>200</v>
      </c>
      <c r="E8" s="5" t="s">
        <v>10</v>
      </c>
      <c r="F8" s="6">
        <v>6420246.6100000003</v>
      </c>
      <c r="G8" s="6">
        <v>5665948.71</v>
      </c>
      <c r="H8" t="str">
        <f>IFERROR(VLOOKUP(C8,Sheet4!B:C,2,0),"")</f>
        <v/>
      </c>
    </row>
    <row r="9" spans="1:8" x14ac:dyDescent="0.35">
      <c r="A9" s="4" t="s">
        <v>7</v>
      </c>
      <c r="B9" s="4" t="s">
        <v>8</v>
      </c>
      <c r="C9" s="26" t="s">
        <v>199</v>
      </c>
      <c r="D9" s="27" t="s">
        <v>200</v>
      </c>
      <c r="E9" s="5" t="s">
        <v>11</v>
      </c>
      <c r="F9" s="6">
        <v>5159571.0999999996</v>
      </c>
      <c r="G9" s="6">
        <v>4488875.51</v>
      </c>
      <c r="H9" t="str">
        <f>IFERROR(VLOOKUP(C9,Sheet4!B:C,2,0),"")</f>
        <v/>
      </c>
    </row>
    <row r="10" spans="1:8" x14ac:dyDescent="0.35">
      <c r="A10" s="4" t="s">
        <v>7</v>
      </c>
      <c r="B10" s="4" t="s">
        <v>8</v>
      </c>
      <c r="C10" s="26" t="s">
        <v>199</v>
      </c>
      <c r="D10" s="27" t="s">
        <v>200</v>
      </c>
      <c r="E10" s="5" t="s">
        <v>30</v>
      </c>
      <c r="F10" s="6">
        <v>139994.01</v>
      </c>
      <c r="G10" s="6">
        <v>99431.43</v>
      </c>
      <c r="H10" t="str">
        <f>IFERROR(VLOOKUP(C10,Sheet4!B:C,2,0),"")</f>
        <v/>
      </c>
    </row>
    <row r="11" spans="1:8" x14ac:dyDescent="0.35">
      <c r="A11" s="4" t="s">
        <v>7</v>
      </c>
      <c r="B11" s="4" t="s">
        <v>8</v>
      </c>
      <c r="C11" s="26" t="s">
        <v>199</v>
      </c>
      <c r="D11" s="27" t="s">
        <v>200</v>
      </c>
      <c r="E11" s="5" t="s">
        <v>12</v>
      </c>
      <c r="F11" s="6">
        <v>757550.04</v>
      </c>
      <c r="G11" s="6">
        <v>895376.05</v>
      </c>
      <c r="H11" t="str">
        <f>IFERROR(VLOOKUP(C11,Sheet4!B:C,2,0),"")</f>
        <v/>
      </c>
    </row>
    <row r="12" spans="1:8" x14ac:dyDescent="0.35">
      <c r="A12" s="4" t="s">
        <v>7</v>
      </c>
      <c r="B12" s="4" t="s">
        <v>8</v>
      </c>
      <c r="C12" s="28" t="s">
        <v>201</v>
      </c>
      <c r="D12" s="29" t="s">
        <v>9</v>
      </c>
      <c r="E12" s="5" t="s">
        <v>29</v>
      </c>
      <c r="F12" s="6">
        <v>2780.41</v>
      </c>
      <c r="G12" s="6"/>
      <c r="H12" t="str">
        <f>IFERROR(VLOOKUP(C12,Sheet4!B:C,2,0),"")</f>
        <v/>
      </c>
    </row>
    <row r="13" spans="1:8" x14ac:dyDescent="0.35">
      <c r="A13" s="4" t="s">
        <v>7</v>
      </c>
      <c r="B13" s="4" t="s">
        <v>8</v>
      </c>
      <c r="C13" s="28" t="s">
        <v>201</v>
      </c>
      <c r="D13" s="29" t="s">
        <v>9</v>
      </c>
      <c r="E13" s="5" t="s">
        <v>10</v>
      </c>
      <c r="F13" s="6">
        <v>50616.63</v>
      </c>
      <c r="G13" s="6">
        <v>23867.78</v>
      </c>
      <c r="H13" t="str">
        <f>IFERROR(VLOOKUP(C13,Sheet4!B:C,2,0),"")</f>
        <v/>
      </c>
    </row>
    <row r="14" spans="1:8" x14ac:dyDescent="0.35">
      <c r="A14" s="4" t="s">
        <v>7</v>
      </c>
      <c r="B14" s="4" t="s">
        <v>8</v>
      </c>
      <c r="C14" s="28" t="s">
        <v>201</v>
      </c>
      <c r="D14" s="29" t="s">
        <v>9</v>
      </c>
      <c r="E14" s="5" t="s">
        <v>11</v>
      </c>
      <c r="F14" s="6">
        <v>85371.63</v>
      </c>
      <c r="G14" s="6">
        <v>90234.69</v>
      </c>
      <c r="H14" t="str">
        <f>IFERROR(VLOOKUP(C14,Sheet4!B:C,2,0),"")</f>
        <v/>
      </c>
    </row>
    <row r="15" spans="1:8" x14ac:dyDescent="0.35">
      <c r="A15" s="4" t="s">
        <v>7</v>
      </c>
      <c r="B15" s="4" t="s">
        <v>8</v>
      </c>
      <c r="C15" s="28" t="s">
        <v>201</v>
      </c>
      <c r="D15" s="29" t="s">
        <v>9</v>
      </c>
      <c r="E15" s="5" t="s">
        <v>12</v>
      </c>
      <c r="F15" s="6">
        <v>-4966.96</v>
      </c>
      <c r="G15" s="6"/>
      <c r="H15" t="str">
        <f>IFERROR(VLOOKUP(C15,Sheet4!B:C,2,0),"")</f>
        <v/>
      </c>
    </row>
    <row r="16" spans="1:8" x14ac:dyDescent="0.35">
      <c r="A16" s="4" t="s">
        <v>7</v>
      </c>
      <c r="B16" s="4" t="s">
        <v>8</v>
      </c>
      <c r="C16" s="28" t="s">
        <v>202</v>
      </c>
      <c r="D16" s="29" t="s">
        <v>13</v>
      </c>
      <c r="E16" s="5" t="s">
        <v>12</v>
      </c>
      <c r="F16" s="6">
        <v>4966.96</v>
      </c>
      <c r="G16" s="6"/>
      <c r="H16" t="str">
        <f>IFERROR(VLOOKUP(C16,Sheet4!B:C,2,0),"")</f>
        <v/>
      </c>
    </row>
    <row r="17" spans="1:8" x14ac:dyDescent="0.35">
      <c r="A17" s="4" t="s">
        <v>7</v>
      </c>
      <c r="B17" s="4" t="s">
        <v>8</v>
      </c>
      <c r="C17" s="28" t="s">
        <v>203</v>
      </c>
      <c r="D17" s="29" t="s">
        <v>14</v>
      </c>
      <c r="E17" s="5" t="s">
        <v>29</v>
      </c>
      <c r="F17" s="6">
        <v>-2871.71</v>
      </c>
      <c r="G17" s="6"/>
      <c r="H17" t="str">
        <f>IFERROR(VLOOKUP(C17,Sheet4!B:C,2,0),"")</f>
        <v/>
      </c>
    </row>
    <row r="18" spans="1:8" x14ac:dyDescent="0.35">
      <c r="A18" s="4" t="s">
        <v>7</v>
      </c>
      <c r="B18" s="4" t="s">
        <v>8</v>
      </c>
      <c r="C18" s="28" t="s">
        <v>203</v>
      </c>
      <c r="D18" s="29" t="s">
        <v>14</v>
      </c>
      <c r="E18" s="5" t="s">
        <v>10</v>
      </c>
      <c r="F18" s="6">
        <v>-2426.86</v>
      </c>
      <c r="G18" s="6">
        <v>3048.2</v>
      </c>
      <c r="H18" t="str">
        <f>IFERROR(VLOOKUP(C18,Sheet4!B:C,2,0),"")</f>
        <v/>
      </c>
    </row>
    <row r="19" spans="1:8" x14ac:dyDescent="0.35">
      <c r="A19" s="4" t="s">
        <v>7</v>
      </c>
      <c r="B19" s="4" t="s">
        <v>8</v>
      </c>
      <c r="C19" s="28" t="s">
        <v>203</v>
      </c>
      <c r="D19" s="29" t="s">
        <v>14</v>
      </c>
      <c r="E19" s="5" t="s">
        <v>11</v>
      </c>
      <c r="F19" s="6">
        <v>1836.22</v>
      </c>
      <c r="G19" s="6">
        <v>332.95</v>
      </c>
      <c r="H19" t="str">
        <f>IFERROR(VLOOKUP(C19,Sheet4!B:C,2,0),"")</f>
        <v/>
      </c>
    </row>
    <row r="20" spans="1:8" x14ac:dyDescent="0.35">
      <c r="A20" s="4" t="s">
        <v>7</v>
      </c>
      <c r="B20" s="4" t="s">
        <v>8</v>
      </c>
      <c r="C20" s="28" t="s">
        <v>203</v>
      </c>
      <c r="D20" s="29" t="s">
        <v>14</v>
      </c>
      <c r="E20" s="5" t="s">
        <v>12</v>
      </c>
      <c r="F20" s="6">
        <v>77936.72</v>
      </c>
      <c r="G20" s="6">
        <v>98177.04</v>
      </c>
      <c r="H20" t="str">
        <f>IFERROR(VLOOKUP(C20,Sheet4!B:C,2,0),"")</f>
        <v/>
      </c>
    </row>
    <row r="21" spans="1:8" x14ac:dyDescent="0.35">
      <c r="A21" s="4" t="s">
        <v>7</v>
      </c>
      <c r="B21" s="4" t="s">
        <v>8</v>
      </c>
      <c r="C21" s="28" t="s">
        <v>204</v>
      </c>
      <c r="D21" s="29" t="s">
        <v>15</v>
      </c>
      <c r="E21" s="5" t="s">
        <v>10</v>
      </c>
      <c r="F21" s="6">
        <v>1235.79</v>
      </c>
      <c r="G21" s="6">
        <v>1035.57</v>
      </c>
      <c r="H21" t="str">
        <f>IFERROR(VLOOKUP(C21,Sheet4!B:C,2,0),"")</f>
        <v/>
      </c>
    </row>
    <row r="22" spans="1:8" x14ac:dyDescent="0.35">
      <c r="A22" s="4" t="s">
        <v>7</v>
      </c>
      <c r="B22" s="4" t="s">
        <v>8</v>
      </c>
      <c r="C22" s="28" t="s">
        <v>204</v>
      </c>
      <c r="D22" s="29" t="s">
        <v>15</v>
      </c>
      <c r="E22" s="5" t="s">
        <v>11</v>
      </c>
      <c r="F22" s="6">
        <v>94.3</v>
      </c>
      <c r="G22" s="6">
        <v>79.33</v>
      </c>
      <c r="H22" t="str">
        <f>IFERROR(VLOOKUP(C22,Sheet4!B:C,2,0),"")</f>
        <v/>
      </c>
    </row>
    <row r="23" spans="1:8" x14ac:dyDescent="0.35">
      <c r="A23" s="4" t="s">
        <v>7</v>
      </c>
      <c r="B23" s="4" t="s">
        <v>8</v>
      </c>
      <c r="C23" s="28" t="s">
        <v>205</v>
      </c>
      <c r="D23" s="29" t="s">
        <v>16</v>
      </c>
      <c r="E23" s="5" t="s">
        <v>10</v>
      </c>
      <c r="F23" s="6">
        <v>101.29</v>
      </c>
      <c r="G23" s="6">
        <v>126.35</v>
      </c>
      <c r="H23" t="str">
        <f>IFERROR(VLOOKUP(C23,Sheet4!B:C,2,0),"")</f>
        <v/>
      </c>
    </row>
    <row r="24" spans="1:8" x14ac:dyDescent="0.35">
      <c r="A24" s="4" t="s">
        <v>7</v>
      </c>
      <c r="B24" s="4" t="s">
        <v>8</v>
      </c>
      <c r="C24" s="28" t="s">
        <v>206</v>
      </c>
      <c r="D24" s="29" t="s">
        <v>17</v>
      </c>
      <c r="E24" s="5" t="s">
        <v>10</v>
      </c>
      <c r="F24" s="6">
        <v>104.74</v>
      </c>
      <c r="G24" s="6">
        <v>172.52</v>
      </c>
      <c r="H24" t="str">
        <f>IFERROR(VLOOKUP(C24,Sheet4!B:C,2,0),"")</f>
        <v/>
      </c>
    </row>
    <row r="25" spans="1:8" x14ac:dyDescent="0.35">
      <c r="A25" s="4" t="s">
        <v>7</v>
      </c>
      <c r="B25" s="4" t="s">
        <v>8</v>
      </c>
      <c r="C25" s="28" t="s">
        <v>207</v>
      </c>
      <c r="D25" s="29" t="s">
        <v>18</v>
      </c>
      <c r="E25" s="5" t="s">
        <v>10</v>
      </c>
      <c r="F25" s="6">
        <v>690</v>
      </c>
      <c r="G25" s="6">
        <v>294.14999999999998</v>
      </c>
      <c r="H25" t="str">
        <f>IFERROR(VLOOKUP(C25,Sheet4!B:C,2,0),"")</f>
        <v/>
      </c>
    </row>
    <row r="26" spans="1:8" x14ac:dyDescent="0.35">
      <c r="A26" s="4" t="s">
        <v>7</v>
      </c>
      <c r="B26" s="4" t="s">
        <v>8</v>
      </c>
      <c r="C26" s="28" t="s">
        <v>208</v>
      </c>
      <c r="D26" s="29" t="s">
        <v>209</v>
      </c>
      <c r="E26" s="5" t="s">
        <v>10</v>
      </c>
      <c r="F26" s="6"/>
      <c r="G26" s="6"/>
      <c r="H26" t="str">
        <f>IFERROR(VLOOKUP(C26,Sheet4!B:C,2,0),"")</f>
        <v/>
      </c>
    </row>
    <row r="27" spans="1:8" x14ac:dyDescent="0.35">
      <c r="A27" s="4" t="s">
        <v>7</v>
      </c>
      <c r="B27" s="4" t="s">
        <v>8</v>
      </c>
      <c r="C27" s="28" t="s">
        <v>210</v>
      </c>
      <c r="D27" s="29" t="s">
        <v>211</v>
      </c>
      <c r="E27" s="5" t="s">
        <v>10</v>
      </c>
      <c r="F27" s="6"/>
      <c r="G27" s="6"/>
      <c r="H27" t="str">
        <f>IFERROR(VLOOKUP(C27,Sheet4!B:C,2,0),"")</f>
        <v/>
      </c>
    </row>
    <row r="28" spans="1:8" x14ac:dyDescent="0.35">
      <c r="A28" s="4" t="s">
        <v>7</v>
      </c>
      <c r="B28" s="4" t="s">
        <v>8</v>
      </c>
      <c r="C28" s="28" t="s">
        <v>210</v>
      </c>
      <c r="D28" s="29" t="s">
        <v>211</v>
      </c>
      <c r="E28" s="5" t="s">
        <v>11</v>
      </c>
      <c r="F28" s="6"/>
      <c r="G28" s="6"/>
      <c r="H28" t="str">
        <f>IFERROR(VLOOKUP(C28,Sheet4!B:C,2,0),"")</f>
        <v/>
      </c>
    </row>
    <row r="29" spans="1:8" x14ac:dyDescent="0.35">
      <c r="A29" s="4" t="s">
        <v>7</v>
      </c>
      <c r="B29" s="4" t="s">
        <v>8</v>
      </c>
      <c r="C29" s="28" t="s">
        <v>212</v>
      </c>
      <c r="D29" s="29" t="s">
        <v>19</v>
      </c>
      <c r="E29" s="5" t="s">
        <v>10</v>
      </c>
      <c r="F29" s="6">
        <v>4443.17</v>
      </c>
      <c r="G29" s="6">
        <v>5556.77</v>
      </c>
      <c r="H29" t="str">
        <f>IFERROR(VLOOKUP(C29,Sheet4!B:C,2,0),"")</f>
        <v/>
      </c>
    </row>
    <row r="30" spans="1:8" x14ac:dyDescent="0.35">
      <c r="A30" s="4" t="s">
        <v>7</v>
      </c>
      <c r="B30" s="4" t="s">
        <v>8</v>
      </c>
      <c r="C30" s="28" t="s">
        <v>212</v>
      </c>
      <c r="D30" s="29" t="s">
        <v>19</v>
      </c>
      <c r="E30" s="5" t="s">
        <v>11</v>
      </c>
      <c r="F30" s="6">
        <v>1152.08</v>
      </c>
      <c r="G30" s="6">
        <v>1289.45</v>
      </c>
      <c r="H30" t="str">
        <f>IFERROR(VLOOKUP(C30,Sheet4!B:C,2,0),"")</f>
        <v/>
      </c>
    </row>
    <row r="31" spans="1:8" x14ac:dyDescent="0.35">
      <c r="A31" s="4" t="s">
        <v>7</v>
      </c>
      <c r="B31" s="4" t="s">
        <v>8</v>
      </c>
      <c r="C31" s="28" t="s">
        <v>213</v>
      </c>
      <c r="D31" s="29" t="s">
        <v>20</v>
      </c>
      <c r="E31" s="5" t="s">
        <v>10</v>
      </c>
      <c r="F31" s="6">
        <v>15251.33</v>
      </c>
      <c r="G31" s="6">
        <v>11886.71</v>
      </c>
      <c r="H31" t="str">
        <f>IFERROR(VLOOKUP(C31,Sheet4!B:C,2,0),"")</f>
        <v/>
      </c>
    </row>
    <row r="32" spans="1:8" x14ac:dyDescent="0.35">
      <c r="A32" s="4" t="s">
        <v>7</v>
      </c>
      <c r="B32" s="4" t="s">
        <v>8</v>
      </c>
      <c r="C32" s="28" t="s">
        <v>213</v>
      </c>
      <c r="D32" s="29" t="s">
        <v>20</v>
      </c>
      <c r="E32" s="5" t="s">
        <v>11</v>
      </c>
      <c r="F32" s="6">
        <v>2866.7</v>
      </c>
      <c r="G32" s="6">
        <v>2898.72</v>
      </c>
      <c r="H32" t="str">
        <f>IFERROR(VLOOKUP(C32,Sheet4!B:C,2,0),"")</f>
        <v/>
      </c>
    </row>
    <row r="33" spans="1:8" x14ac:dyDescent="0.35">
      <c r="A33" s="4" t="s">
        <v>7</v>
      </c>
      <c r="B33" s="4" t="s">
        <v>8</v>
      </c>
      <c r="C33" s="28" t="s">
        <v>213</v>
      </c>
      <c r="D33" s="29" t="s">
        <v>20</v>
      </c>
      <c r="E33" s="5" t="s">
        <v>12</v>
      </c>
      <c r="F33" s="6"/>
      <c r="G33" s="6">
        <v>90</v>
      </c>
      <c r="H33" t="str">
        <f>IFERROR(VLOOKUP(C33,Sheet4!B:C,2,0),"")</f>
        <v/>
      </c>
    </row>
    <row r="34" spans="1:8" x14ac:dyDescent="0.35">
      <c r="A34" s="4" t="s">
        <v>7</v>
      </c>
      <c r="B34" s="4" t="s">
        <v>8</v>
      </c>
      <c r="C34" s="28" t="s">
        <v>214</v>
      </c>
      <c r="D34" s="29" t="s">
        <v>21</v>
      </c>
      <c r="E34" s="5" t="s">
        <v>10</v>
      </c>
      <c r="F34" s="6">
        <v>3661.88</v>
      </c>
      <c r="G34" s="6">
        <v>2540.5700000000002</v>
      </c>
      <c r="H34" t="str">
        <f>IFERROR(VLOOKUP(C34,Sheet4!B:C,2,0),"")</f>
        <v/>
      </c>
    </row>
    <row r="35" spans="1:8" x14ac:dyDescent="0.35">
      <c r="A35" s="4" t="s">
        <v>7</v>
      </c>
      <c r="B35" s="4" t="s">
        <v>8</v>
      </c>
      <c r="C35" s="28" t="s">
        <v>214</v>
      </c>
      <c r="D35" s="29" t="s">
        <v>21</v>
      </c>
      <c r="E35" s="5" t="s">
        <v>11</v>
      </c>
      <c r="F35" s="6">
        <v>524.84</v>
      </c>
      <c r="G35" s="6">
        <v>1763.27</v>
      </c>
      <c r="H35" t="str">
        <f>IFERROR(VLOOKUP(C35,Sheet4!B:C,2,0),"")</f>
        <v/>
      </c>
    </row>
    <row r="36" spans="1:8" x14ac:dyDescent="0.35">
      <c r="A36" s="4" t="s">
        <v>7</v>
      </c>
      <c r="B36" s="4" t="s">
        <v>8</v>
      </c>
      <c r="C36" s="28" t="s">
        <v>214</v>
      </c>
      <c r="D36" s="29" t="s">
        <v>21</v>
      </c>
      <c r="E36" s="5" t="s">
        <v>12</v>
      </c>
      <c r="F36" s="6">
        <v>12024.4</v>
      </c>
      <c r="G36" s="6">
        <v>9108.3799999999992</v>
      </c>
      <c r="H36" t="str">
        <f>IFERROR(VLOOKUP(C36,Sheet4!B:C,2,0),"")</f>
        <v/>
      </c>
    </row>
    <row r="37" spans="1:8" x14ac:dyDescent="0.35">
      <c r="A37" s="4" t="s">
        <v>7</v>
      </c>
      <c r="B37" s="4" t="s">
        <v>8</v>
      </c>
      <c r="C37" s="28" t="s">
        <v>215</v>
      </c>
      <c r="D37" s="29" t="s">
        <v>22</v>
      </c>
      <c r="E37" s="5" t="s">
        <v>10</v>
      </c>
      <c r="F37" s="6">
        <v>1793.86</v>
      </c>
      <c r="G37" s="6">
        <v>4827.26</v>
      </c>
      <c r="H37" t="str">
        <f>IFERROR(VLOOKUP(C37,Sheet4!B:C,2,0),"")</f>
        <v/>
      </c>
    </row>
    <row r="38" spans="1:8" x14ac:dyDescent="0.35">
      <c r="A38" s="4" t="s">
        <v>7</v>
      </c>
      <c r="B38" s="4" t="s">
        <v>8</v>
      </c>
      <c r="C38" s="28" t="s">
        <v>215</v>
      </c>
      <c r="D38" s="29" t="s">
        <v>22</v>
      </c>
      <c r="E38" s="5" t="s">
        <v>11</v>
      </c>
      <c r="F38" s="6">
        <v>172.73</v>
      </c>
      <c r="G38" s="6">
        <v>755.87</v>
      </c>
      <c r="H38" t="str">
        <f>IFERROR(VLOOKUP(C38,Sheet4!B:C,2,0),"")</f>
        <v/>
      </c>
    </row>
    <row r="39" spans="1:8" x14ac:dyDescent="0.35">
      <c r="A39" s="4" t="s">
        <v>7</v>
      </c>
      <c r="B39" s="4" t="s">
        <v>8</v>
      </c>
      <c r="C39" s="28" t="s">
        <v>216</v>
      </c>
      <c r="D39" s="29" t="s">
        <v>23</v>
      </c>
      <c r="E39" s="5" t="s">
        <v>10</v>
      </c>
      <c r="F39" s="6">
        <v>302.98</v>
      </c>
      <c r="G39" s="6">
        <v>407.03</v>
      </c>
      <c r="H39" t="str">
        <f>IFERROR(VLOOKUP(C39,Sheet4!B:C,2,0),"")</f>
        <v/>
      </c>
    </row>
    <row r="40" spans="1:8" x14ac:dyDescent="0.35">
      <c r="A40" s="4" t="s">
        <v>7</v>
      </c>
      <c r="B40" s="4" t="s">
        <v>8</v>
      </c>
      <c r="C40" s="28" t="s">
        <v>216</v>
      </c>
      <c r="D40" s="29" t="s">
        <v>23</v>
      </c>
      <c r="E40" s="5" t="s">
        <v>11</v>
      </c>
      <c r="F40" s="6">
        <v>56.78</v>
      </c>
      <c r="G40" s="6">
        <v>29.14</v>
      </c>
      <c r="H40" t="str">
        <f>IFERROR(VLOOKUP(C40,Sheet4!B:C,2,0),"")</f>
        <v/>
      </c>
    </row>
    <row r="41" spans="1:8" x14ac:dyDescent="0.35">
      <c r="A41" s="4" t="s">
        <v>7</v>
      </c>
      <c r="B41" s="4" t="s">
        <v>8</v>
      </c>
      <c r="C41" s="28" t="s">
        <v>217</v>
      </c>
      <c r="D41" s="29" t="s">
        <v>24</v>
      </c>
      <c r="E41" s="5" t="s">
        <v>10</v>
      </c>
      <c r="F41" s="6">
        <v>137.81</v>
      </c>
      <c r="G41" s="6">
        <v>429.47</v>
      </c>
      <c r="H41" t="str">
        <f>IFERROR(VLOOKUP(C41,Sheet4!B:C,2,0),"")</f>
        <v/>
      </c>
    </row>
    <row r="42" spans="1:8" x14ac:dyDescent="0.35">
      <c r="A42" s="4" t="s">
        <v>7</v>
      </c>
      <c r="B42" s="4" t="s">
        <v>8</v>
      </c>
      <c r="C42" s="28" t="s">
        <v>217</v>
      </c>
      <c r="D42" s="29" t="s">
        <v>24</v>
      </c>
      <c r="E42" s="5" t="s">
        <v>11</v>
      </c>
      <c r="F42" s="6"/>
      <c r="G42" s="6"/>
      <c r="H42" t="str">
        <f>IFERROR(VLOOKUP(C42,Sheet4!B:C,2,0),"")</f>
        <v/>
      </c>
    </row>
    <row r="43" spans="1:8" x14ac:dyDescent="0.35">
      <c r="A43" s="4" t="s">
        <v>7</v>
      </c>
      <c r="B43" s="4" t="s">
        <v>8</v>
      </c>
      <c r="C43" s="28" t="s">
        <v>218</v>
      </c>
      <c r="D43" s="29" t="s">
        <v>25</v>
      </c>
      <c r="E43" s="5" t="s">
        <v>10</v>
      </c>
      <c r="F43" s="6">
        <v>4593.09</v>
      </c>
      <c r="G43" s="6">
        <v>2498.4899999999998</v>
      </c>
      <c r="H43" t="str">
        <f>IFERROR(VLOOKUP(C43,Sheet4!B:C,2,0),"")</f>
        <v/>
      </c>
    </row>
    <row r="44" spans="1:8" x14ac:dyDescent="0.35">
      <c r="A44" s="4" t="s">
        <v>7</v>
      </c>
      <c r="B44" s="4" t="s">
        <v>8</v>
      </c>
      <c r="C44" s="28" t="s">
        <v>218</v>
      </c>
      <c r="D44" s="29" t="s">
        <v>25</v>
      </c>
      <c r="E44" s="5" t="s">
        <v>11</v>
      </c>
      <c r="F44" s="6">
        <v>153</v>
      </c>
      <c r="G44" s="6">
        <v>575.9</v>
      </c>
      <c r="H44" t="str">
        <f>IFERROR(VLOOKUP(C44,Sheet4!B:C,2,0),"")</f>
        <v/>
      </c>
    </row>
    <row r="45" spans="1:8" x14ac:dyDescent="0.35">
      <c r="A45" s="4" t="s">
        <v>7</v>
      </c>
      <c r="B45" s="4" t="s">
        <v>8</v>
      </c>
      <c r="C45" s="28" t="s">
        <v>218</v>
      </c>
      <c r="D45" s="29" t="s">
        <v>25</v>
      </c>
      <c r="E45" s="5" t="s">
        <v>12</v>
      </c>
      <c r="F45" s="6"/>
      <c r="G45" s="6"/>
      <c r="H45" t="str">
        <f>IFERROR(VLOOKUP(C45,Sheet4!B:C,2,0),"")</f>
        <v/>
      </c>
    </row>
    <row r="46" spans="1:8" x14ac:dyDescent="0.35">
      <c r="A46" s="4" t="s">
        <v>7</v>
      </c>
      <c r="B46" s="4" t="s">
        <v>8</v>
      </c>
      <c r="C46" s="28" t="s">
        <v>219</v>
      </c>
      <c r="D46" s="29" t="s">
        <v>26</v>
      </c>
      <c r="E46" s="5" t="s">
        <v>10</v>
      </c>
      <c r="F46" s="6"/>
      <c r="G46" s="6">
        <v>3838.47</v>
      </c>
      <c r="H46" t="str">
        <f>IFERROR(VLOOKUP(C46,Sheet4!B:C,2,0),"")</f>
        <v/>
      </c>
    </row>
    <row r="47" spans="1:8" x14ac:dyDescent="0.35">
      <c r="A47" s="4" t="s">
        <v>7</v>
      </c>
      <c r="B47" s="4" t="s">
        <v>8</v>
      </c>
      <c r="C47" s="28" t="s">
        <v>219</v>
      </c>
      <c r="D47" s="29" t="s">
        <v>26</v>
      </c>
      <c r="E47" s="5" t="s">
        <v>11</v>
      </c>
      <c r="F47" s="6"/>
      <c r="G47" s="6"/>
      <c r="H47" t="str">
        <f>IFERROR(VLOOKUP(C47,Sheet4!B:C,2,0),"")</f>
        <v/>
      </c>
    </row>
    <row r="48" spans="1:8" x14ac:dyDescent="0.35">
      <c r="A48" s="4" t="s">
        <v>7</v>
      </c>
      <c r="B48" s="4" t="s">
        <v>8</v>
      </c>
      <c r="C48" s="28" t="s">
        <v>220</v>
      </c>
      <c r="D48" s="29" t="s">
        <v>27</v>
      </c>
      <c r="E48" s="5" t="s">
        <v>12</v>
      </c>
      <c r="F48" s="6">
        <v>6083.33</v>
      </c>
      <c r="G48" s="6">
        <v>4987.92</v>
      </c>
      <c r="H48" t="str">
        <f>IFERROR(VLOOKUP(C48,Sheet4!B:C,2,0),"")</f>
        <v/>
      </c>
    </row>
    <row r="49" spans="1:8" x14ac:dyDescent="0.35">
      <c r="A49" s="4" t="s">
        <v>7</v>
      </c>
      <c r="B49" s="4" t="s">
        <v>8</v>
      </c>
      <c r="C49" s="28" t="s">
        <v>221</v>
      </c>
      <c r="D49" s="29" t="s">
        <v>28</v>
      </c>
      <c r="E49" s="5" t="s">
        <v>29</v>
      </c>
      <c r="F49" s="6">
        <v>-1016.34</v>
      </c>
      <c r="G49" s="6">
        <v>-114.04</v>
      </c>
      <c r="H49" t="str">
        <f>IFERROR(VLOOKUP(C49,Sheet4!B:C,2,0),"")</f>
        <v/>
      </c>
    </row>
    <row r="50" spans="1:8" x14ac:dyDescent="0.35">
      <c r="A50" s="4" t="s">
        <v>7</v>
      </c>
      <c r="B50" s="4" t="s">
        <v>8</v>
      </c>
      <c r="C50" s="28" t="s">
        <v>221</v>
      </c>
      <c r="D50" s="29" t="s">
        <v>28</v>
      </c>
      <c r="E50" s="5" t="s">
        <v>10</v>
      </c>
      <c r="F50" s="6">
        <v>94344.59</v>
      </c>
      <c r="G50" s="6">
        <v>56684.07</v>
      </c>
      <c r="H50" t="str">
        <f>IFERROR(VLOOKUP(C50,Sheet4!B:C,2,0),"")</f>
        <v/>
      </c>
    </row>
    <row r="51" spans="1:8" x14ac:dyDescent="0.35">
      <c r="A51" s="4" t="s">
        <v>7</v>
      </c>
      <c r="B51" s="4" t="s">
        <v>8</v>
      </c>
      <c r="C51" s="28" t="s">
        <v>221</v>
      </c>
      <c r="D51" s="29" t="s">
        <v>28</v>
      </c>
      <c r="E51" s="5" t="s">
        <v>11</v>
      </c>
      <c r="F51" s="6">
        <v>80987.039999999994</v>
      </c>
      <c r="G51" s="6">
        <v>58739.16</v>
      </c>
      <c r="H51" t="str">
        <f>IFERROR(VLOOKUP(C51,Sheet4!B:C,2,0),"")</f>
        <v/>
      </c>
    </row>
    <row r="52" spans="1:8" x14ac:dyDescent="0.35">
      <c r="A52" s="4" t="s">
        <v>7</v>
      </c>
      <c r="B52" s="4" t="s">
        <v>8</v>
      </c>
      <c r="C52" s="28" t="s">
        <v>221</v>
      </c>
      <c r="D52" s="29" t="s">
        <v>28</v>
      </c>
      <c r="E52" s="5" t="s">
        <v>30</v>
      </c>
      <c r="F52" s="6"/>
      <c r="G52" s="6"/>
      <c r="H52" t="str">
        <f>IFERROR(VLOOKUP(C52,Sheet4!B:C,2,0),"")</f>
        <v/>
      </c>
    </row>
    <row r="53" spans="1:8" x14ac:dyDescent="0.35">
      <c r="A53" s="4" t="s">
        <v>7</v>
      </c>
      <c r="B53" s="4" t="s">
        <v>8</v>
      </c>
      <c r="C53" s="28" t="s">
        <v>221</v>
      </c>
      <c r="D53" s="29" t="s">
        <v>28</v>
      </c>
      <c r="E53" s="5" t="s">
        <v>12</v>
      </c>
      <c r="F53" s="6">
        <v>2087.88</v>
      </c>
      <c r="G53" s="6">
        <v>-43917.16</v>
      </c>
      <c r="H53" t="str">
        <f>IFERROR(VLOOKUP(C53,Sheet4!B:C,2,0),"")</f>
        <v/>
      </c>
    </row>
    <row r="54" spans="1:8" x14ac:dyDescent="0.35">
      <c r="A54" s="4" t="s">
        <v>7</v>
      </c>
      <c r="B54" s="4" t="s">
        <v>8</v>
      </c>
      <c r="C54" s="28" t="s">
        <v>222</v>
      </c>
      <c r="D54" s="29" t="s">
        <v>31</v>
      </c>
      <c r="E54" s="5" t="s">
        <v>29</v>
      </c>
      <c r="F54" s="6">
        <v>-912.71</v>
      </c>
      <c r="G54" s="6">
        <v>-3886.16</v>
      </c>
      <c r="H54" t="str">
        <f>IFERROR(VLOOKUP(C54,Sheet4!B:C,2,0),"")</f>
        <v/>
      </c>
    </row>
    <row r="55" spans="1:8" x14ac:dyDescent="0.35">
      <c r="A55" s="4" t="s">
        <v>7</v>
      </c>
      <c r="B55" s="4" t="s">
        <v>8</v>
      </c>
      <c r="C55" s="28" t="s">
        <v>222</v>
      </c>
      <c r="D55" s="29" t="s">
        <v>31</v>
      </c>
      <c r="E55" s="5" t="s">
        <v>10</v>
      </c>
      <c r="F55" s="6">
        <v>178575.44</v>
      </c>
      <c r="G55" s="6">
        <v>140674.9</v>
      </c>
      <c r="H55" t="str">
        <f>IFERROR(VLOOKUP(C55,Sheet4!B:C,2,0),"")</f>
        <v/>
      </c>
    </row>
    <row r="56" spans="1:8" x14ac:dyDescent="0.35">
      <c r="A56" s="4" t="s">
        <v>7</v>
      </c>
      <c r="B56" s="4" t="s">
        <v>8</v>
      </c>
      <c r="C56" s="28" t="s">
        <v>222</v>
      </c>
      <c r="D56" s="29" t="s">
        <v>31</v>
      </c>
      <c r="E56" s="5" t="s">
        <v>11</v>
      </c>
      <c r="F56" s="6">
        <v>106643.26</v>
      </c>
      <c r="G56" s="6">
        <v>82613.08</v>
      </c>
      <c r="H56" t="str">
        <f>IFERROR(VLOOKUP(C56,Sheet4!B:C,2,0),"")</f>
        <v/>
      </c>
    </row>
    <row r="57" spans="1:8" x14ac:dyDescent="0.35">
      <c r="A57" s="4" t="s">
        <v>7</v>
      </c>
      <c r="B57" s="4" t="s">
        <v>8</v>
      </c>
      <c r="C57" s="28" t="s">
        <v>222</v>
      </c>
      <c r="D57" s="29" t="s">
        <v>31</v>
      </c>
      <c r="E57" s="5" t="s">
        <v>30</v>
      </c>
      <c r="F57" s="6"/>
      <c r="G57" s="6"/>
      <c r="H57" t="str">
        <f>IFERROR(VLOOKUP(C57,Sheet4!B:C,2,0),"")</f>
        <v/>
      </c>
    </row>
    <row r="58" spans="1:8" x14ac:dyDescent="0.35">
      <c r="A58" s="4" t="s">
        <v>7</v>
      </c>
      <c r="B58" s="4" t="s">
        <v>8</v>
      </c>
      <c r="C58" s="28" t="s">
        <v>222</v>
      </c>
      <c r="D58" s="29" t="s">
        <v>31</v>
      </c>
      <c r="E58" s="5" t="s">
        <v>12</v>
      </c>
      <c r="F58" s="6">
        <v>0</v>
      </c>
      <c r="G58" s="6">
        <v>883.42</v>
      </c>
      <c r="H58" t="str">
        <f>IFERROR(VLOOKUP(C58,Sheet4!B:C,2,0),"")</f>
        <v/>
      </c>
    </row>
    <row r="59" spans="1:8" x14ac:dyDescent="0.35">
      <c r="A59" s="4" t="s">
        <v>7</v>
      </c>
      <c r="B59" s="4" t="s">
        <v>8</v>
      </c>
      <c r="C59" s="28" t="s">
        <v>223</v>
      </c>
      <c r="D59" s="29" t="s">
        <v>32</v>
      </c>
      <c r="E59" s="5" t="s">
        <v>29</v>
      </c>
      <c r="F59" s="6">
        <v>2437.2800000000002</v>
      </c>
      <c r="G59" s="6">
        <v>-2953.35</v>
      </c>
      <c r="H59" t="str">
        <f>IFERROR(VLOOKUP(C59,Sheet4!B:C,2,0),"")</f>
        <v/>
      </c>
    </row>
    <row r="60" spans="1:8" x14ac:dyDescent="0.35">
      <c r="A60" s="4" t="s">
        <v>7</v>
      </c>
      <c r="B60" s="4" t="s">
        <v>8</v>
      </c>
      <c r="C60" s="28" t="s">
        <v>223</v>
      </c>
      <c r="D60" s="29" t="s">
        <v>32</v>
      </c>
      <c r="E60" s="5" t="s">
        <v>10</v>
      </c>
      <c r="F60" s="6">
        <v>62747.91</v>
      </c>
      <c r="G60" s="6">
        <v>45245.279999999999</v>
      </c>
      <c r="H60" t="str">
        <f>IFERROR(VLOOKUP(C60,Sheet4!B:C,2,0),"")</f>
        <v/>
      </c>
    </row>
    <row r="61" spans="1:8" x14ac:dyDescent="0.35">
      <c r="A61" s="4" t="s">
        <v>7</v>
      </c>
      <c r="B61" s="4" t="s">
        <v>8</v>
      </c>
      <c r="C61" s="28" t="s">
        <v>223</v>
      </c>
      <c r="D61" s="29" t="s">
        <v>32</v>
      </c>
      <c r="E61" s="5" t="s">
        <v>11</v>
      </c>
      <c r="F61" s="6">
        <v>98423.03</v>
      </c>
      <c r="G61" s="6">
        <v>82656.88</v>
      </c>
      <c r="H61" t="str">
        <f>IFERROR(VLOOKUP(C61,Sheet4!B:C,2,0),"")</f>
        <v/>
      </c>
    </row>
    <row r="62" spans="1:8" x14ac:dyDescent="0.35">
      <c r="A62" s="4" t="s">
        <v>7</v>
      </c>
      <c r="B62" s="4" t="s">
        <v>8</v>
      </c>
      <c r="C62" s="28" t="s">
        <v>223</v>
      </c>
      <c r="D62" s="29" t="s">
        <v>32</v>
      </c>
      <c r="E62" s="5" t="s">
        <v>30</v>
      </c>
      <c r="F62" s="6"/>
      <c r="G62" s="6"/>
      <c r="H62" t="str">
        <f>IFERROR(VLOOKUP(C62,Sheet4!B:C,2,0),"")</f>
        <v/>
      </c>
    </row>
    <row r="63" spans="1:8" x14ac:dyDescent="0.35">
      <c r="A63" s="4" t="s">
        <v>7</v>
      </c>
      <c r="B63" s="4" t="s">
        <v>8</v>
      </c>
      <c r="C63" s="28" t="s">
        <v>223</v>
      </c>
      <c r="D63" s="29" t="s">
        <v>32</v>
      </c>
      <c r="E63" s="5" t="s">
        <v>12</v>
      </c>
      <c r="F63" s="6">
        <v>1587.13</v>
      </c>
      <c r="G63" s="6">
        <v>529.91999999999996</v>
      </c>
      <c r="H63" t="str">
        <f>IFERROR(VLOOKUP(C63,Sheet4!B:C,2,0),"")</f>
        <v/>
      </c>
    </row>
    <row r="64" spans="1:8" x14ac:dyDescent="0.35">
      <c r="A64" s="4" t="s">
        <v>7</v>
      </c>
      <c r="B64" s="4" t="s">
        <v>8</v>
      </c>
      <c r="C64" s="28" t="s">
        <v>224</v>
      </c>
      <c r="D64" s="29" t="s">
        <v>33</v>
      </c>
      <c r="E64" s="5" t="s">
        <v>29</v>
      </c>
      <c r="F64" s="6">
        <v>20.27</v>
      </c>
      <c r="G64" s="6">
        <v>-9.7799999999999994</v>
      </c>
      <c r="H64" t="str">
        <f>IFERROR(VLOOKUP(C64,Sheet4!B:C,2,0),"")</f>
        <v/>
      </c>
    </row>
    <row r="65" spans="1:8" x14ac:dyDescent="0.35">
      <c r="A65" s="4" t="s">
        <v>7</v>
      </c>
      <c r="B65" s="4" t="s">
        <v>8</v>
      </c>
      <c r="C65" s="28" t="s">
        <v>224</v>
      </c>
      <c r="D65" s="29" t="s">
        <v>33</v>
      </c>
      <c r="E65" s="5" t="s">
        <v>10</v>
      </c>
      <c r="F65" s="6">
        <v>11446.61</v>
      </c>
      <c r="G65" s="6">
        <v>14244.06</v>
      </c>
      <c r="H65" t="str">
        <f>IFERROR(VLOOKUP(C65,Sheet4!B:C,2,0),"")</f>
        <v/>
      </c>
    </row>
    <row r="66" spans="1:8" x14ac:dyDescent="0.35">
      <c r="A66" s="4" t="s">
        <v>7</v>
      </c>
      <c r="B66" s="4" t="s">
        <v>8</v>
      </c>
      <c r="C66" s="28" t="s">
        <v>224</v>
      </c>
      <c r="D66" s="29" t="s">
        <v>33</v>
      </c>
      <c r="E66" s="5" t="s">
        <v>11</v>
      </c>
      <c r="F66" s="6">
        <v>17610.689999999999</v>
      </c>
      <c r="G66" s="6">
        <v>13058.08</v>
      </c>
      <c r="H66" t="str">
        <f>IFERROR(VLOOKUP(C66,Sheet4!B:C,2,0),"")</f>
        <v/>
      </c>
    </row>
    <row r="67" spans="1:8" x14ac:dyDescent="0.35">
      <c r="A67" s="4" t="s">
        <v>7</v>
      </c>
      <c r="B67" s="4" t="s">
        <v>8</v>
      </c>
      <c r="C67" s="28" t="s">
        <v>224</v>
      </c>
      <c r="D67" s="29" t="s">
        <v>33</v>
      </c>
      <c r="E67" s="5" t="s">
        <v>30</v>
      </c>
      <c r="F67" s="6"/>
      <c r="G67" s="6"/>
      <c r="H67" t="str">
        <f>IFERROR(VLOOKUP(C67,Sheet4!B:C,2,0),"")</f>
        <v/>
      </c>
    </row>
    <row r="68" spans="1:8" x14ac:dyDescent="0.35">
      <c r="A68" s="4" t="s">
        <v>7</v>
      </c>
      <c r="B68" s="4" t="s">
        <v>8</v>
      </c>
      <c r="C68" s="28" t="s">
        <v>224</v>
      </c>
      <c r="D68" s="29" t="s">
        <v>33</v>
      </c>
      <c r="E68" s="5" t="s">
        <v>12</v>
      </c>
      <c r="F68" s="6">
        <v>75.27</v>
      </c>
      <c r="G68" s="6">
        <v>323</v>
      </c>
      <c r="H68" t="str">
        <f>IFERROR(VLOOKUP(C68,Sheet4!B:C,2,0),"")</f>
        <v/>
      </c>
    </row>
    <row r="69" spans="1:8" x14ac:dyDescent="0.35">
      <c r="A69" s="4" t="s">
        <v>7</v>
      </c>
      <c r="B69" s="4" t="s">
        <v>8</v>
      </c>
      <c r="C69" s="28" t="s">
        <v>225</v>
      </c>
      <c r="D69" s="29" t="s">
        <v>34</v>
      </c>
      <c r="E69" s="5" t="s">
        <v>29</v>
      </c>
      <c r="F69" s="6">
        <v>268.45999999999998</v>
      </c>
      <c r="G69" s="6">
        <v>353.08</v>
      </c>
      <c r="H69" t="str">
        <f>IFERROR(VLOOKUP(C69,Sheet4!B:C,2,0),"")</f>
        <v/>
      </c>
    </row>
    <row r="70" spans="1:8" x14ac:dyDescent="0.35">
      <c r="A70" s="4" t="s">
        <v>7</v>
      </c>
      <c r="B70" s="4" t="s">
        <v>8</v>
      </c>
      <c r="C70" s="28" t="s">
        <v>225</v>
      </c>
      <c r="D70" s="29" t="s">
        <v>34</v>
      </c>
      <c r="E70" s="5" t="s">
        <v>10</v>
      </c>
      <c r="F70" s="6">
        <v>13862.97</v>
      </c>
      <c r="G70" s="6">
        <v>16251.28</v>
      </c>
      <c r="H70" t="str">
        <f>IFERROR(VLOOKUP(C70,Sheet4!B:C,2,0),"")</f>
        <v/>
      </c>
    </row>
    <row r="71" spans="1:8" x14ac:dyDescent="0.35">
      <c r="A71" s="4" t="s">
        <v>7</v>
      </c>
      <c r="B71" s="4" t="s">
        <v>8</v>
      </c>
      <c r="C71" s="28" t="s">
        <v>225</v>
      </c>
      <c r="D71" s="29" t="s">
        <v>34</v>
      </c>
      <c r="E71" s="5" t="s">
        <v>11</v>
      </c>
      <c r="F71" s="6">
        <v>9265.5300000000007</v>
      </c>
      <c r="G71" s="6">
        <v>14959.72</v>
      </c>
      <c r="H71" t="str">
        <f>IFERROR(VLOOKUP(C71,Sheet4!B:C,2,0),"")</f>
        <v/>
      </c>
    </row>
    <row r="72" spans="1:8" x14ac:dyDescent="0.35">
      <c r="A72" s="4" t="s">
        <v>7</v>
      </c>
      <c r="B72" s="4" t="s">
        <v>8</v>
      </c>
      <c r="C72" s="28" t="s">
        <v>225</v>
      </c>
      <c r="D72" s="29" t="s">
        <v>34</v>
      </c>
      <c r="E72" s="5" t="s">
        <v>12</v>
      </c>
      <c r="F72" s="6">
        <v>0</v>
      </c>
      <c r="G72" s="6">
        <v>0</v>
      </c>
      <c r="H72" t="str">
        <f>IFERROR(VLOOKUP(C72,Sheet4!B:C,2,0),"")</f>
        <v/>
      </c>
    </row>
    <row r="73" spans="1:8" x14ac:dyDescent="0.35">
      <c r="A73" s="4" t="s">
        <v>7</v>
      </c>
      <c r="B73" s="4" t="s">
        <v>8</v>
      </c>
      <c r="C73" s="28" t="s">
        <v>226</v>
      </c>
      <c r="D73" s="29" t="s">
        <v>35</v>
      </c>
      <c r="E73" s="5" t="s">
        <v>29</v>
      </c>
      <c r="F73" s="6"/>
      <c r="G73" s="6"/>
      <c r="H73" t="str">
        <f>IFERROR(VLOOKUP(C73,Sheet4!B:C,2,0),"")</f>
        <v/>
      </c>
    </row>
    <row r="74" spans="1:8" x14ac:dyDescent="0.35">
      <c r="A74" s="4" t="s">
        <v>7</v>
      </c>
      <c r="B74" s="4" t="s">
        <v>8</v>
      </c>
      <c r="C74" s="28" t="s">
        <v>226</v>
      </c>
      <c r="D74" s="29" t="s">
        <v>35</v>
      </c>
      <c r="E74" s="5" t="s">
        <v>10</v>
      </c>
      <c r="F74" s="6">
        <v>707.7</v>
      </c>
      <c r="G74" s="6">
        <v>115.24</v>
      </c>
      <c r="H74" t="str">
        <f>IFERROR(VLOOKUP(C74,Sheet4!B:C,2,0),"")</f>
        <v/>
      </c>
    </row>
    <row r="75" spans="1:8" x14ac:dyDescent="0.35">
      <c r="A75" s="4" t="s">
        <v>7</v>
      </c>
      <c r="B75" s="4" t="s">
        <v>8</v>
      </c>
      <c r="C75" s="28" t="s">
        <v>226</v>
      </c>
      <c r="D75" s="29" t="s">
        <v>35</v>
      </c>
      <c r="E75" s="5" t="s">
        <v>11</v>
      </c>
      <c r="F75" s="6">
        <v>1201.2</v>
      </c>
      <c r="G75" s="6">
        <v>3687.68</v>
      </c>
      <c r="H75" t="str">
        <f>IFERROR(VLOOKUP(C75,Sheet4!B:C,2,0),"")</f>
        <v/>
      </c>
    </row>
    <row r="76" spans="1:8" x14ac:dyDescent="0.35">
      <c r="A76" s="4" t="s">
        <v>7</v>
      </c>
      <c r="B76" s="4" t="s">
        <v>8</v>
      </c>
      <c r="C76" s="28" t="s">
        <v>226</v>
      </c>
      <c r="D76" s="29" t="s">
        <v>35</v>
      </c>
      <c r="E76" s="5" t="s">
        <v>12</v>
      </c>
      <c r="F76" s="6"/>
      <c r="G76" s="6"/>
      <c r="H76" t="str">
        <f>IFERROR(VLOOKUP(C76,Sheet4!B:C,2,0),"")</f>
        <v/>
      </c>
    </row>
    <row r="77" spans="1:8" x14ac:dyDescent="0.35">
      <c r="A77" s="4" t="s">
        <v>7</v>
      </c>
      <c r="B77" s="4" t="s">
        <v>8</v>
      </c>
      <c r="C77" s="28" t="s">
        <v>227</v>
      </c>
      <c r="D77" s="29" t="s">
        <v>36</v>
      </c>
      <c r="E77" s="5" t="s">
        <v>29</v>
      </c>
      <c r="F77" s="6"/>
      <c r="G77" s="6"/>
      <c r="H77" t="str">
        <f>IFERROR(VLOOKUP(C77,Sheet4!B:C,2,0),"")</f>
        <v/>
      </c>
    </row>
    <row r="78" spans="1:8" x14ac:dyDescent="0.35">
      <c r="A78" s="4" t="s">
        <v>7</v>
      </c>
      <c r="B78" s="4" t="s">
        <v>8</v>
      </c>
      <c r="C78" s="28" t="s">
        <v>227</v>
      </c>
      <c r="D78" s="29" t="s">
        <v>36</v>
      </c>
      <c r="E78" s="5" t="s">
        <v>10</v>
      </c>
      <c r="F78" s="6">
        <v>3138.34</v>
      </c>
      <c r="G78" s="6">
        <v>328.58</v>
      </c>
      <c r="H78" t="str">
        <f>IFERROR(VLOOKUP(C78,Sheet4!B:C,2,0),"")</f>
        <v/>
      </c>
    </row>
    <row r="79" spans="1:8" x14ac:dyDescent="0.35">
      <c r="A79" s="4" t="s">
        <v>7</v>
      </c>
      <c r="B79" s="4" t="s">
        <v>8</v>
      </c>
      <c r="C79" s="28" t="s">
        <v>227</v>
      </c>
      <c r="D79" s="29" t="s">
        <v>36</v>
      </c>
      <c r="E79" s="5" t="s">
        <v>11</v>
      </c>
      <c r="F79" s="6">
        <v>33063.49</v>
      </c>
      <c r="G79" s="6">
        <v>21371.8</v>
      </c>
      <c r="H79" t="str">
        <f>IFERROR(VLOOKUP(C79,Sheet4!B:C,2,0),"")</f>
        <v/>
      </c>
    </row>
    <row r="80" spans="1:8" x14ac:dyDescent="0.35">
      <c r="A80" s="4" t="s">
        <v>7</v>
      </c>
      <c r="B80" s="4" t="s">
        <v>8</v>
      </c>
      <c r="C80" s="28" t="s">
        <v>227</v>
      </c>
      <c r="D80" s="29" t="s">
        <v>36</v>
      </c>
      <c r="E80" s="5" t="s">
        <v>12</v>
      </c>
      <c r="F80" s="6"/>
      <c r="G80" s="6">
        <v>2500</v>
      </c>
      <c r="H80" t="str">
        <f>IFERROR(VLOOKUP(C80,Sheet4!B:C,2,0),"")</f>
        <v/>
      </c>
    </row>
    <row r="81" spans="1:8" x14ac:dyDescent="0.35">
      <c r="A81" s="4" t="s">
        <v>7</v>
      </c>
      <c r="B81" s="4" t="s">
        <v>8</v>
      </c>
      <c r="C81" s="28" t="s">
        <v>228</v>
      </c>
      <c r="D81" s="29" t="s">
        <v>37</v>
      </c>
      <c r="E81" s="5" t="s">
        <v>29</v>
      </c>
      <c r="F81" s="6">
        <v>-790.47</v>
      </c>
      <c r="G81" s="6">
        <v>-38.4</v>
      </c>
      <c r="H81" t="str">
        <f>IFERROR(VLOOKUP(C81,Sheet4!B:C,2,0),"")</f>
        <v/>
      </c>
    </row>
    <row r="82" spans="1:8" x14ac:dyDescent="0.35">
      <c r="A82" s="4" t="s">
        <v>7</v>
      </c>
      <c r="B82" s="4" t="s">
        <v>8</v>
      </c>
      <c r="C82" s="28" t="s">
        <v>228</v>
      </c>
      <c r="D82" s="29" t="s">
        <v>37</v>
      </c>
      <c r="E82" s="5" t="s">
        <v>10</v>
      </c>
      <c r="F82" s="6">
        <v>2028.07</v>
      </c>
      <c r="G82" s="6">
        <v>1612.11</v>
      </c>
      <c r="H82" t="str">
        <f>IFERROR(VLOOKUP(C82,Sheet4!B:C,2,0),"")</f>
        <v/>
      </c>
    </row>
    <row r="83" spans="1:8" x14ac:dyDescent="0.35">
      <c r="A83" s="4" t="s">
        <v>7</v>
      </c>
      <c r="B83" s="4" t="s">
        <v>8</v>
      </c>
      <c r="C83" s="28" t="s">
        <v>228</v>
      </c>
      <c r="D83" s="29" t="s">
        <v>37</v>
      </c>
      <c r="E83" s="5" t="s">
        <v>11</v>
      </c>
      <c r="F83" s="6">
        <v>-10894.9</v>
      </c>
      <c r="G83" s="6">
        <v>-3897.99</v>
      </c>
      <c r="H83" t="str">
        <f>IFERROR(VLOOKUP(C83,Sheet4!B:C,2,0),"")</f>
        <v/>
      </c>
    </row>
    <row r="84" spans="1:8" x14ac:dyDescent="0.35">
      <c r="A84" s="4" t="s">
        <v>7</v>
      </c>
      <c r="B84" s="4" t="s">
        <v>8</v>
      </c>
      <c r="C84" s="28" t="s">
        <v>228</v>
      </c>
      <c r="D84" s="29" t="s">
        <v>37</v>
      </c>
      <c r="E84" s="5" t="s">
        <v>12</v>
      </c>
      <c r="F84" s="6">
        <v>1315.84</v>
      </c>
      <c r="G84" s="6">
        <v>33.94</v>
      </c>
      <c r="H84" t="str">
        <f>IFERROR(VLOOKUP(C84,Sheet4!B:C,2,0),"")</f>
        <v/>
      </c>
    </row>
    <row r="85" spans="1:8" x14ac:dyDescent="0.35">
      <c r="A85" s="4" t="s">
        <v>7</v>
      </c>
      <c r="B85" s="4" t="s">
        <v>8</v>
      </c>
      <c r="C85" s="28" t="s">
        <v>229</v>
      </c>
      <c r="D85" s="29" t="s">
        <v>38</v>
      </c>
      <c r="E85" s="5" t="s">
        <v>29</v>
      </c>
      <c r="F85" s="6"/>
      <c r="G85" s="6"/>
      <c r="H85" t="str">
        <f>IFERROR(VLOOKUP(C85,Sheet4!B:C,2,0),"")</f>
        <v/>
      </c>
    </row>
    <row r="86" spans="1:8" x14ac:dyDescent="0.35">
      <c r="A86" s="4" t="s">
        <v>7</v>
      </c>
      <c r="B86" s="4" t="s">
        <v>8</v>
      </c>
      <c r="C86" s="28" t="s">
        <v>229</v>
      </c>
      <c r="D86" s="29" t="s">
        <v>38</v>
      </c>
      <c r="E86" s="5" t="s">
        <v>10</v>
      </c>
      <c r="F86" s="6">
        <v>153208.47</v>
      </c>
      <c r="G86" s="6">
        <v>54605.120000000003</v>
      </c>
      <c r="H86" t="str">
        <f>IFERROR(VLOOKUP(C86,Sheet4!B:C,2,0),"")</f>
        <v/>
      </c>
    </row>
    <row r="87" spans="1:8" x14ac:dyDescent="0.35">
      <c r="A87" s="4" t="s">
        <v>7</v>
      </c>
      <c r="B87" s="4" t="s">
        <v>8</v>
      </c>
      <c r="C87" s="28" t="s">
        <v>229</v>
      </c>
      <c r="D87" s="29" t="s">
        <v>38</v>
      </c>
      <c r="E87" s="5" t="s">
        <v>11</v>
      </c>
      <c r="F87" s="6">
        <v>67628.66</v>
      </c>
      <c r="G87" s="6">
        <v>27698.75</v>
      </c>
      <c r="H87" t="str">
        <f>IFERROR(VLOOKUP(C87,Sheet4!B:C,2,0),"")</f>
        <v/>
      </c>
    </row>
    <row r="88" spans="1:8" x14ac:dyDescent="0.35">
      <c r="A88" s="4" t="s">
        <v>7</v>
      </c>
      <c r="B88" s="4" t="s">
        <v>8</v>
      </c>
      <c r="C88" s="28" t="s">
        <v>229</v>
      </c>
      <c r="D88" s="29" t="s">
        <v>38</v>
      </c>
      <c r="E88" s="5" t="s">
        <v>12</v>
      </c>
      <c r="F88" s="6">
        <v>215959.04000000001</v>
      </c>
      <c r="G88" s="6">
        <v>23315.32</v>
      </c>
      <c r="H88" t="str">
        <f>IFERROR(VLOOKUP(C88,Sheet4!B:C,2,0),"")</f>
        <v/>
      </c>
    </row>
    <row r="89" spans="1:8" x14ac:dyDescent="0.35">
      <c r="A89" s="4" t="s">
        <v>7</v>
      </c>
      <c r="B89" s="4" t="s">
        <v>8</v>
      </c>
      <c r="C89" s="28" t="s">
        <v>230</v>
      </c>
      <c r="D89" s="29" t="s">
        <v>39</v>
      </c>
      <c r="E89" s="5" t="s">
        <v>29</v>
      </c>
      <c r="F89" s="6">
        <v>558.37</v>
      </c>
      <c r="G89" s="6">
        <v>464.97</v>
      </c>
      <c r="H89" t="str">
        <f>IFERROR(VLOOKUP(C89,Sheet4!B:C,2,0),"")</f>
        <v/>
      </c>
    </row>
    <row r="90" spans="1:8" x14ac:dyDescent="0.35">
      <c r="A90" s="4" t="s">
        <v>7</v>
      </c>
      <c r="B90" s="4" t="s">
        <v>8</v>
      </c>
      <c r="C90" s="28" t="s">
        <v>230</v>
      </c>
      <c r="D90" s="29" t="s">
        <v>39</v>
      </c>
      <c r="E90" s="5" t="s">
        <v>10</v>
      </c>
      <c r="F90" s="6">
        <v>283809.99</v>
      </c>
      <c r="G90" s="6">
        <v>259493.08</v>
      </c>
      <c r="H90" t="str">
        <f>IFERROR(VLOOKUP(C90,Sheet4!B:C,2,0),"")</f>
        <v/>
      </c>
    </row>
    <row r="91" spans="1:8" x14ac:dyDescent="0.35">
      <c r="A91" s="4" t="s">
        <v>7</v>
      </c>
      <c r="B91" s="4" t="s">
        <v>8</v>
      </c>
      <c r="C91" s="28" t="s">
        <v>230</v>
      </c>
      <c r="D91" s="29" t="s">
        <v>39</v>
      </c>
      <c r="E91" s="5" t="s">
        <v>11</v>
      </c>
      <c r="F91" s="6">
        <v>65952.02</v>
      </c>
      <c r="G91" s="6">
        <v>81391.520000000004</v>
      </c>
      <c r="H91" t="str">
        <f>IFERROR(VLOOKUP(C91,Sheet4!B:C,2,0),"")</f>
        <v/>
      </c>
    </row>
    <row r="92" spans="1:8" x14ac:dyDescent="0.35">
      <c r="A92" s="4" t="s">
        <v>7</v>
      </c>
      <c r="B92" s="4" t="s">
        <v>8</v>
      </c>
      <c r="C92" s="28" t="s">
        <v>230</v>
      </c>
      <c r="D92" s="29" t="s">
        <v>39</v>
      </c>
      <c r="E92" s="5" t="s">
        <v>12</v>
      </c>
      <c r="F92" s="6">
        <v>-104427.68</v>
      </c>
      <c r="G92" s="6">
        <v>99833.91</v>
      </c>
      <c r="H92" t="str">
        <f>IFERROR(VLOOKUP(C92,Sheet4!B:C,2,0),"")</f>
        <v/>
      </c>
    </row>
    <row r="93" spans="1:8" x14ac:dyDescent="0.35">
      <c r="A93" s="4" t="s">
        <v>7</v>
      </c>
      <c r="B93" s="4" t="s">
        <v>8</v>
      </c>
      <c r="C93" s="28" t="s">
        <v>231</v>
      </c>
      <c r="D93" s="29" t="s">
        <v>40</v>
      </c>
      <c r="E93" s="5" t="s">
        <v>10</v>
      </c>
      <c r="F93" s="6">
        <v>18826.03</v>
      </c>
      <c r="G93" s="6"/>
      <c r="H93" t="str">
        <f>IFERROR(VLOOKUP(C93,Sheet4!B:C,2,0),"")</f>
        <v/>
      </c>
    </row>
    <row r="94" spans="1:8" x14ac:dyDescent="0.35">
      <c r="A94" s="4" t="s">
        <v>7</v>
      </c>
      <c r="B94" s="4" t="s">
        <v>8</v>
      </c>
      <c r="C94" s="28" t="s">
        <v>231</v>
      </c>
      <c r="D94" s="29" t="s">
        <v>40</v>
      </c>
      <c r="E94" s="5" t="s">
        <v>11</v>
      </c>
      <c r="F94" s="6">
        <v>7097.22</v>
      </c>
      <c r="G94" s="6"/>
      <c r="H94" t="str">
        <f>IFERROR(VLOOKUP(C94,Sheet4!B:C,2,0),"")</f>
        <v/>
      </c>
    </row>
    <row r="95" spans="1:8" x14ac:dyDescent="0.35">
      <c r="A95" s="4" t="s">
        <v>7</v>
      </c>
      <c r="B95" s="4" t="s">
        <v>8</v>
      </c>
      <c r="C95" s="28" t="s">
        <v>231</v>
      </c>
      <c r="D95" s="29" t="s">
        <v>40</v>
      </c>
      <c r="E95" s="5" t="s">
        <v>12</v>
      </c>
      <c r="F95" s="6">
        <v>9534.33</v>
      </c>
      <c r="G95" s="6"/>
      <c r="H95" t="str">
        <f>IFERROR(VLOOKUP(C95,Sheet4!B:C,2,0),"")</f>
        <v/>
      </c>
    </row>
    <row r="96" spans="1:8" x14ac:dyDescent="0.35">
      <c r="A96" s="4" t="s">
        <v>7</v>
      </c>
      <c r="B96" s="4" t="s">
        <v>8</v>
      </c>
      <c r="C96" s="28" t="s">
        <v>232</v>
      </c>
      <c r="D96" s="29" t="s">
        <v>41</v>
      </c>
      <c r="E96" s="5" t="s">
        <v>29</v>
      </c>
      <c r="F96" s="6">
        <v>0</v>
      </c>
      <c r="G96" s="6">
        <v>44.78</v>
      </c>
      <c r="H96" t="str">
        <f>IFERROR(VLOOKUP(C96,Sheet4!B:C,2,0),"")</f>
        <v/>
      </c>
    </row>
    <row r="97" spans="1:8" x14ac:dyDescent="0.35">
      <c r="A97" s="4" t="s">
        <v>7</v>
      </c>
      <c r="B97" s="4" t="s">
        <v>8</v>
      </c>
      <c r="C97" s="28" t="s">
        <v>232</v>
      </c>
      <c r="D97" s="29" t="s">
        <v>41</v>
      </c>
      <c r="E97" s="5" t="s">
        <v>10</v>
      </c>
      <c r="F97" s="6">
        <v>193529.52</v>
      </c>
      <c r="G97" s="6">
        <v>236041.27</v>
      </c>
      <c r="H97" t="str">
        <f>IFERROR(VLOOKUP(C97,Sheet4!B:C,2,0),"")</f>
        <v/>
      </c>
    </row>
    <row r="98" spans="1:8" x14ac:dyDescent="0.35">
      <c r="A98" s="4" t="s">
        <v>7</v>
      </c>
      <c r="B98" s="4" t="s">
        <v>8</v>
      </c>
      <c r="C98" s="28" t="s">
        <v>232</v>
      </c>
      <c r="D98" s="29" t="s">
        <v>41</v>
      </c>
      <c r="E98" s="5" t="s">
        <v>11</v>
      </c>
      <c r="F98" s="6">
        <v>28334.59</v>
      </c>
      <c r="G98" s="6">
        <v>32852.6</v>
      </c>
      <c r="H98" t="str">
        <f>IFERROR(VLOOKUP(C98,Sheet4!B:C,2,0),"")</f>
        <v/>
      </c>
    </row>
    <row r="99" spans="1:8" x14ac:dyDescent="0.35">
      <c r="A99" s="4" t="s">
        <v>7</v>
      </c>
      <c r="B99" s="4" t="s">
        <v>8</v>
      </c>
      <c r="C99" s="28" t="s">
        <v>232</v>
      </c>
      <c r="D99" s="29" t="s">
        <v>41</v>
      </c>
      <c r="E99" s="5" t="s">
        <v>12</v>
      </c>
      <c r="F99" s="6">
        <v>58520.82</v>
      </c>
      <c r="G99" s="6">
        <v>69774.3</v>
      </c>
      <c r="H99" t="str">
        <f>IFERROR(VLOOKUP(C99,Sheet4!B:C,2,0),"")</f>
        <v/>
      </c>
    </row>
    <row r="100" spans="1:8" x14ac:dyDescent="0.35">
      <c r="A100" s="4" t="s">
        <v>7</v>
      </c>
      <c r="B100" s="4" t="s">
        <v>8</v>
      </c>
      <c r="C100" s="28" t="s">
        <v>233</v>
      </c>
      <c r="D100" s="29" t="s">
        <v>42</v>
      </c>
      <c r="E100" s="5" t="s">
        <v>29</v>
      </c>
      <c r="F100" s="6">
        <v>162.88</v>
      </c>
      <c r="G100" s="6">
        <v>143.86000000000001</v>
      </c>
      <c r="H100" t="str">
        <f>IFERROR(VLOOKUP(C100,Sheet4!B:C,2,0),"")</f>
        <v/>
      </c>
    </row>
    <row r="101" spans="1:8" x14ac:dyDescent="0.35">
      <c r="A101" s="4" t="s">
        <v>7</v>
      </c>
      <c r="B101" s="4" t="s">
        <v>8</v>
      </c>
      <c r="C101" s="28" t="s">
        <v>233</v>
      </c>
      <c r="D101" s="29" t="s">
        <v>42</v>
      </c>
      <c r="E101" s="5" t="s">
        <v>10</v>
      </c>
      <c r="F101" s="6">
        <v>96751.17</v>
      </c>
      <c r="G101" s="6">
        <v>83010.039999999994</v>
      </c>
      <c r="H101" t="str">
        <f>IFERROR(VLOOKUP(C101,Sheet4!B:C,2,0),"")</f>
        <v/>
      </c>
    </row>
    <row r="102" spans="1:8" x14ac:dyDescent="0.35">
      <c r="A102" s="4" t="s">
        <v>7</v>
      </c>
      <c r="B102" s="4" t="s">
        <v>8</v>
      </c>
      <c r="C102" s="28" t="s">
        <v>233</v>
      </c>
      <c r="D102" s="29" t="s">
        <v>42</v>
      </c>
      <c r="E102" s="5" t="s">
        <v>11</v>
      </c>
      <c r="F102" s="6">
        <v>31110.2</v>
      </c>
      <c r="G102" s="6">
        <v>26327.02</v>
      </c>
      <c r="H102" t="str">
        <f>IFERROR(VLOOKUP(C102,Sheet4!B:C,2,0),"")</f>
        <v/>
      </c>
    </row>
    <row r="103" spans="1:8" x14ac:dyDescent="0.35">
      <c r="A103" s="4" t="s">
        <v>7</v>
      </c>
      <c r="B103" s="4" t="s">
        <v>8</v>
      </c>
      <c r="C103" s="28" t="s">
        <v>233</v>
      </c>
      <c r="D103" s="29" t="s">
        <v>42</v>
      </c>
      <c r="E103" s="5" t="s">
        <v>12</v>
      </c>
      <c r="F103" s="6"/>
      <c r="G103" s="6">
        <v>143.86000000000001</v>
      </c>
      <c r="H103" t="str">
        <f>IFERROR(VLOOKUP(C103,Sheet4!B:C,2,0),"")</f>
        <v/>
      </c>
    </row>
    <row r="104" spans="1:8" x14ac:dyDescent="0.35">
      <c r="A104" s="4" t="s">
        <v>7</v>
      </c>
      <c r="B104" s="4" t="s">
        <v>8</v>
      </c>
      <c r="C104" s="28" t="s">
        <v>234</v>
      </c>
      <c r="D104" s="29" t="s">
        <v>43</v>
      </c>
      <c r="E104" s="5" t="s">
        <v>29</v>
      </c>
      <c r="F104" s="6">
        <v>-39.93</v>
      </c>
      <c r="G104" s="6">
        <v>-231.33</v>
      </c>
      <c r="H104" t="str">
        <f>IFERROR(VLOOKUP(C104,Sheet4!B:C,2,0),"")</f>
        <v/>
      </c>
    </row>
    <row r="105" spans="1:8" x14ac:dyDescent="0.35">
      <c r="A105" s="4" t="s">
        <v>7</v>
      </c>
      <c r="B105" s="4" t="s">
        <v>8</v>
      </c>
      <c r="C105" s="28" t="s">
        <v>234</v>
      </c>
      <c r="D105" s="29" t="s">
        <v>43</v>
      </c>
      <c r="E105" s="5" t="s">
        <v>10</v>
      </c>
      <c r="F105" s="6">
        <v>198510.54</v>
      </c>
      <c r="G105" s="6">
        <v>231827.39</v>
      </c>
      <c r="H105" t="str">
        <f>IFERROR(VLOOKUP(C105,Sheet4!B:C,2,0),"")</f>
        <v/>
      </c>
    </row>
    <row r="106" spans="1:8" x14ac:dyDescent="0.35">
      <c r="A106" s="4" t="s">
        <v>7</v>
      </c>
      <c r="B106" s="4" t="s">
        <v>8</v>
      </c>
      <c r="C106" s="28" t="s">
        <v>234</v>
      </c>
      <c r="D106" s="29" t="s">
        <v>43</v>
      </c>
      <c r="E106" s="5" t="s">
        <v>11</v>
      </c>
      <c r="F106" s="6">
        <v>35559.040000000001</v>
      </c>
      <c r="G106" s="6">
        <v>5759.44</v>
      </c>
      <c r="H106" t="str">
        <f>IFERROR(VLOOKUP(C106,Sheet4!B:C,2,0),"")</f>
        <v/>
      </c>
    </row>
    <row r="107" spans="1:8" x14ac:dyDescent="0.35">
      <c r="A107" s="4" t="s">
        <v>7</v>
      </c>
      <c r="B107" s="4" t="s">
        <v>8</v>
      </c>
      <c r="C107" s="28" t="s">
        <v>234</v>
      </c>
      <c r="D107" s="29" t="s">
        <v>43</v>
      </c>
      <c r="E107" s="5" t="s">
        <v>12</v>
      </c>
      <c r="F107" s="6">
        <v>48853.919999999998</v>
      </c>
      <c r="G107" s="6">
        <v>37794.82</v>
      </c>
      <c r="H107" t="str">
        <f>IFERROR(VLOOKUP(C107,Sheet4!B:C,2,0),"")</f>
        <v/>
      </c>
    </row>
    <row r="108" spans="1:8" x14ac:dyDescent="0.35">
      <c r="A108" s="4" t="s">
        <v>7</v>
      </c>
      <c r="B108" s="4" t="s">
        <v>8</v>
      </c>
      <c r="C108" s="28" t="s">
        <v>235</v>
      </c>
      <c r="D108" s="29" t="s">
        <v>44</v>
      </c>
      <c r="E108" s="5" t="s">
        <v>29</v>
      </c>
      <c r="F108" s="6">
        <v>1.5</v>
      </c>
      <c r="G108" s="6">
        <v>234</v>
      </c>
      <c r="H108" t="str">
        <f>IFERROR(VLOOKUP(C108,Sheet4!B:C,2,0),"")</f>
        <v/>
      </c>
    </row>
    <row r="109" spans="1:8" x14ac:dyDescent="0.35">
      <c r="A109" s="4" t="s">
        <v>7</v>
      </c>
      <c r="B109" s="4" t="s">
        <v>8</v>
      </c>
      <c r="C109" s="28" t="s">
        <v>235</v>
      </c>
      <c r="D109" s="29" t="s">
        <v>44</v>
      </c>
      <c r="E109" s="5" t="s">
        <v>10</v>
      </c>
      <c r="F109" s="6">
        <v>139527.34</v>
      </c>
      <c r="G109" s="6">
        <v>59158.2</v>
      </c>
      <c r="H109" t="str">
        <f>IFERROR(VLOOKUP(C109,Sheet4!B:C,2,0),"")</f>
        <v/>
      </c>
    </row>
    <row r="110" spans="1:8" x14ac:dyDescent="0.35">
      <c r="A110" s="4" t="s">
        <v>7</v>
      </c>
      <c r="B110" s="4" t="s">
        <v>8</v>
      </c>
      <c r="C110" s="28" t="s">
        <v>235</v>
      </c>
      <c r="D110" s="29" t="s">
        <v>44</v>
      </c>
      <c r="E110" s="5" t="s">
        <v>11</v>
      </c>
      <c r="F110" s="6">
        <v>14781.39</v>
      </c>
      <c r="G110" s="6">
        <v>-39060.160000000003</v>
      </c>
      <c r="H110" t="str">
        <f>IFERROR(VLOOKUP(C110,Sheet4!B:C,2,0),"")</f>
        <v/>
      </c>
    </row>
    <row r="111" spans="1:8" x14ac:dyDescent="0.35">
      <c r="A111" s="4" t="s">
        <v>7</v>
      </c>
      <c r="B111" s="4" t="s">
        <v>8</v>
      </c>
      <c r="C111" s="28" t="s">
        <v>235</v>
      </c>
      <c r="D111" s="29" t="s">
        <v>44</v>
      </c>
      <c r="E111" s="5" t="s">
        <v>12</v>
      </c>
      <c r="F111" s="6">
        <v>-211173.06</v>
      </c>
      <c r="G111" s="6">
        <v>-67681.320000000007</v>
      </c>
      <c r="H111" t="str">
        <f>IFERROR(VLOOKUP(C111,Sheet4!B:C,2,0),"")</f>
        <v/>
      </c>
    </row>
    <row r="112" spans="1:8" x14ac:dyDescent="0.35">
      <c r="A112" s="4" t="s">
        <v>7</v>
      </c>
      <c r="B112" s="4" t="s">
        <v>8</v>
      </c>
      <c r="C112" s="28" t="s">
        <v>236</v>
      </c>
      <c r="D112" s="29" t="s">
        <v>45</v>
      </c>
      <c r="E112" s="5" t="s">
        <v>10</v>
      </c>
      <c r="F112" s="6">
        <v>494.34</v>
      </c>
      <c r="G112" s="6"/>
      <c r="H112" t="str">
        <f>IFERROR(VLOOKUP(C112,Sheet4!B:C,2,0),"")</f>
        <v/>
      </c>
    </row>
    <row r="113" spans="1:8" x14ac:dyDescent="0.35">
      <c r="A113" s="4" t="s">
        <v>7</v>
      </c>
      <c r="B113" s="4" t="s">
        <v>8</v>
      </c>
      <c r="C113" s="28" t="s">
        <v>237</v>
      </c>
      <c r="D113" s="29" t="s">
        <v>46</v>
      </c>
      <c r="E113" s="5" t="s">
        <v>29</v>
      </c>
      <c r="F113" s="6">
        <v>570.71</v>
      </c>
      <c r="G113" s="6">
        <v>523.51</v>
      </c>
      <c r="H113" t="str">
        <f>IFERROR(VLOOKUP(C113,Sheet4!B:C,2,0),"")</f>
        <v/>
      </c>
    </row>
    <row r="114" spans="1:8" x14ac:dyDescent="0.35">
      <c r="A114" s="4" t="s">
        <v>7</v>
      </c>
      <c r="B114" s="4" t="s">
        <v>8</v>
      </c>
      <c r="C114" s="28" t="s">
        <v>237</v>
      </c>
      <c r="D114" s="29" t="s">
        <v>46</v>
      </c>
      <c r="E114" s="5" t="s">
        <v>10</v>
      </c>
      <c r="F114" s="6">
        <v>32303.53</v>
      </c>
      <c r="G114" s="6">
        <v>31263.9</v>
      </c>
      <c r="H114" t="str">
        <f>IFERROR(VLOOKUP(C114,Sheet4!B:C,2,0),"")</f>
        <v/>
      </c>
    </row>
    <row r="115" spans="1:8" x14ac:dyDescent="0.35">
      <c r="A115" s="4" t="s">
        <v>7</v>
      </c>
      <c r="B115" s="4" t="s">
        <v>8</v>
      </c>
      <c r="C115" s="28" t="s">
        <v>237</v>
      </c>
      <c r="D115" s="29" t="s">
        <v>46</v>
      </c>
      <c r="E115" s="5" t="s">
        <v>11</v>
      </c>
      <c r="F115" s="6">
        <v>18646.169999999998</v>
      </c>
      <c r="G115" s="6">
        <v>16426.919999999998</v>
      </c>
      <c r="H115" t="str">
        <f>IFERROR(VLOOKUP(C115,Sheet4!B:C,2,0),"")</f>
        <v/>
      </c>
    </row>
    <row r="116" spans="1:8" x14ac:dyDescent="0.35">
      <c r="A116" s="4" t="s">
        <v>7</v>
      </c>
      <c r="B116" s="4" t="s">
        <v>8</v>
      </c>
      <c r="C116" s="28" t="s">
        <v>237</v>
      </c>
      <c r="D116" s="29" t="s">
        <v>46</v>
      </c>
      <c r="E116" s="5" t="s">
        <v>12</v>
      </c>
      <c r="F116" s="6">
        <v>1266.51</v>
      </c>
      <c r="G116" s="6">
        <v>1062.25</v>
      </c>
      <c r="H116" t="str">
        <f>IFERROR(VLOOKUP(C116,Sheet4!B:C,2,0),"")</f>
        <v/>
      </c>
    </row>
    <row r="117" spans="1:8" x14ac:dyDescent="0.35">
      <c r="A117" s="4" t="s">
        <v>7</v>
      </c>
      <c r="B117" s="4" t="s">
        <v>8</v>
      </c>
      <c r="C117" s="28" t="s">
        <v>238</v>
      </c>
      <c r="D117" s="29" t="s">
        <v>47</v>
      </c>
      <c r="E117" s="5" t="s">
        <v>29</v>
      </c>
      <c r="F117" s="6"/>
      <c r="G117" s="6"/>
      <c r="H117" t="str">
        <f>IFERROR(VLOOKUP(C117,Sheet4!B:C,2,0),"")</f>
        <v/>
      </c>
    </row>
    <row r="118" spans="1:8" x14ac:dyDescent="0.35">
      <c r="A118" s="4" t="s">
        <v>7</v>
      </c>
      <c r="B118" s="4" t="s">
        <v>8</v>
      </c>
      <c r="C118" s="28" t="s">
        <v>238</v>
      </c>
      <c r="D118" s="29" t="s">
        <v>47</v>
      </c>
      <c r="E118" s="5" t="s">
        <v>10</v>
      </c>
      <c r="F118" s="6">
        <v>3424.73</v>
      </c>
      <c r="G118" s="6">
        <v>6573.61</v>
      </c>
      <c r="H118" t="str">
        <f>IFERROR(VLOOKUP(C118,Sheet4!B:C,2,0),"")</f>
        <v/>
      </c>
    </row>
    <row r="119" spans="1:8" x14ac:dyDescent="0.35">
      <c r="A119" s="4" t="s">
        <v>7</v>
      </c>
      <c r="B119" s="4" t="s">
        <v>8</v>
      </c>
      <c r="C119" s="28" t="s">
        <v>238</v>
      </c>
      <c r="D119" s="29" t="s">
        <v>47</v>
      </c>
      <c r="E119" s="5" t="s">
        <v>11</v>
      </c>
      <c r="F119" s="6">
        <v>6375.34</v>
      </c>
      <c r="G119" s="6">
        <v>14715.27</v>
      </c>
      <c r="H119" t="str">
        <f>IFERROR(VLOOKUP(C119,Sheet4!B:C,2,0),"")</f>
        <v/>
      </c>
    </row>
    <row r="120" spans="1:8" x14ac:dyDescent="0.35">
      <c r="A120" s="4" t="s">
        <v>7</v>
      </c>
      <c r="B120" s="4" t="s">
        <v>8</v>
      </c>
      <c r="C120" s="28" t="s">
        <v>238</v>
      </c>
      <c r="D120" s="29" t="s">
        <v>47</v>
      </c>
      <c r="E120" s="5" t="s">
        <v>12</v>
      </c>
      <c r="F120" s="6">
        <v>21533.29</v>
      </c>
      <c r="G120" s="6">
        <v>13735.27</v>
      </c>
      <c r="H120" t="str">
        <f>IFERROR(VLOOKUP(C120,Sheet4!B:C,2,0),"")</f>
        <v/>
      </c>
    </row>
    <row r="121" spans="1:8" x14ac:dyDescent="0.35">
      <c r="A121" s="4" t="s">
        <v>7</v>
      </c>
      <c r="B121" s="4" t="s">
        <v>8</v>
      </c>
      <c r="C121" s="28" t="s">
        <v>239</v>
      </c>
      <c r="D121" s="29" t="s">
        <v>48</v>
      </c>
      <c r="E121" s="5" t="s">
        <v>10</v>
      </c>
      <c r="F121" s="6">
        <v>961.04</v>
      </c>
      <c r="G121" s="6"/>
      <c r="H121" t="str">
        <f>IFERROR(VLOOKUP(C121,Sheet4!B:C,2,0),"")</f>
        <v/>
      </c>
    </row>
    <row r="122" spans="1:8" x14ac:dyDescent="0.35">
      <c r="A122" s="4" t="s">
        <v>7</v>
      </c>
      <c r="B122" s="4" t="s">
        <v>8</v>
      </c>
      <c r="C122" s="28" t="s">
        <v>240</v>
      </c>
      <c r="D122" s="29" t="s">
        <v>49</v>
      </c>
      <c r="E122" s="5" t="s">
        <v>10</v>
      </c>
      <c r="F122" s="6"/>
      <c r="G122" s="6"/>
      <c r="H122" t="str">
        <f>IFERROR(VLOOKUP(C122,Sheet4!B:C,2,0),"")</f>
        <v/>
      </c>
    </row>
    <row r="123" spans="1:8" x14ac:dyDescent="0.35">
      <c r="A123" s="4" t="s">
        <v>7</v>
      </c>
      <c r="B123" s="4" t="s">
        <v>8</v>
      </c>
      <c r="C123" s="28" t="s">
        <v>240</v>
      </c>
      <c r="D123" s="29" t="s">
        <v>49</v>
      </c>
      <c r="E123" s="5" t="s">
        <v>11</v>
      </c>
      <c r="F123" s="6"/>
      <c r="G123" s="6"/>
      <c r="H123" t="str">
        <f>IFERROR(VLOOKUP(C123,Sheet4!B:C,2,0),"")</f>
        <v/>
      </c>
    </row>
    <row r="124" spans="1:8" x14ac:dyDescent="0.35">
      <c r="A124" s="4" t="s">
        <v>7</v>
      </c>
      <c r="B124" s="4" t="s">
        <v>8</v>
      </c>
      <c r="C124" s="28" t="s">
        <v>241</v>
      </c>
      <c r="D124" s="29" t="s">
        <v>50</v>
      </c>
      <c r="E124" s="5" t="s">
        <v>29</v>
      </c>
      <c r="F124" s="6">
        <v>473.03</v>
      </c>
      <c r="G124" s="6">
        <v>34.22</v>
      </c>
      <c r="H124" t="str">
        <f>IFERROR(VLOOKUP(C124,Sheet4!B:C,2,0),"")</f>
        <v/>
      </c>
    </row>
    <row r="125" spans="1:8" x14ac:dyDescent="0.35">
      <c r="A125" s="4" t="s">
        <v>7</v>
      </c>
      <c r="B125" s="4" t="s">
        <v>8</v>
      </c>
      <c r="C125" s="28" t="s">
        <v>241</v>
      </c>
      <c r="D125" s="29" t="s">
        <v>50</v>
      </c>
      <c r="E125" s="5" t="s">
        <v>10</v>
      </c>
      <c r="F125" s="6">
        <v>3892.86</v>
      </c>
      <c r="G125" s="6">
        <v>674.64</v>
      </c>
      <c r="H125" t="str">
        <f>IFERROR(VLOOKUP(C125,Sheet4!B:C,2,0),"")</f>
        <v/>
      </c>
    </row>
    <row r="126" spans="1:8" x14ac:dyDescent="0.35">
      <c r="A126" s="4" t="s">
        <v>7</v>
      </c>
      <c r="B126" s="4" t="s">
        <v>8</v>
      </c>
      <c r="C126" s="28" t="s">
        <v>241</v>
      </c>
      <c r="D126" s="29" t="s">
        <v>50</v>
      </c>
      <c r="E126" s="5" t="s">
        <v>11</v>
      </c>
      <c r="F126" s="6">
        <v>27652.6</v>
      </c>
      <c r="G126" s="6">
        <v>5353.19</v>
      </c>
      <c r="H126" t="str">
        <f>IFERROR(VLOOKUP(C126,Sheet4!B:C,2,0),"")</f>
        <v/>
      </c>
    </row>
    <row r="127" spans="1:8" x14ac:dyDescent="0.35">
      <c r="A127" s="4" t="s">
        <v>7</v>
      </c>
      <c r="B127" s="4" t="s">
        <v>8</v>
      </c>
      <c r="C127" s="28" t="s">
        <v>241</v>
      </c>
      <c r="D127" s="29" t="s">
        <v>50</v>
      </c>
      <c r="E127" s="5" t="s">
        <v>12</v>
      </c>
      <c r="F127" s="6">
        <v>9643.58</v>
      </c>
      <c r="G127" s="6">
        <v>9286.8700000000008</v>
      </c>
      <c r="H127" t="str">
        <f>IFERROR(VLOOKUP(C127,Sheet4!B:C,2,0),"")</f>
        <v/>
      </c>
    </row>
    <row r="128" spans="1:8" x14ac:dyDescent="0.35">
      <c r="A128" s="4" t="s">
        <v>7</v>
      </c>
      <c r="B128" s="4" t="s">
        <v>8</v>
      </c>
      <c r="C128" s="28" t="s">
        <v>242</v>
      </c>
      <c r="D128" s="29" t="s">
        <v>51</v>
      </c>
      <c r="E128" s="5" t="s">
        <v>29</v>
      </c>
      <c r="F128" s="6">
        <v>0</v>
      </c>
      <c r="G128" s="6"/>
      <c r="H128" t="str">
        <f>IFERROR(VLOOKUP(C128,Sheet4!B:C,2,0),"")</f>
        <v/>
      </c>
    </row>
    <row r="129" spans="1:8" x14ac:dyDescent="0.35">
      <c r="A129" s="4" t="s">
        <v>7</v>
      </c>
      <c r="B129" s="4" t="s">
        <v>8</v>
      </c>
      <c r="C129" s="28" t="s">
        <v>242</v>
      </c>
      <c r="D129" s="29" t="s">
        <v>51</v>
      </c>
      <c r="E129" s="5" t="s">
        <v>10</v>
      </c>
      <c r="F129" s="6">
        <v>-51.13</v>
      </c>
      <c r="G129" s="6">
        <v>98.57</v>
      </c>
      <c r="H129" t="str">
        <f>IFERROR(VLOOKUP(C129,Sheet4!B:C,2,0),"")</f>
        <v/>
      </c>
    </row>
    <row r="130" spans="1:8" x14ac:dyDescent="0.35">
      <c r="A130" s="4" t="s">
        <v>7</v>
      </c>
      <c r="B130" s="4" t="s">
        <v>8</v>
      </c>
      <c r="C130" s="28" t="s">
        <v>242</v>
      </c>
      <c r="D130" s="29" t="s">
        <v>51</v>
      </c>
      <c r="E130" s="5" t="s">
        <v>11</v>
      </c>
      <c r="F130" s="6">
        <v>204.21</v>
      </c>
      <c r="G130" s="6"/>
      <c r="H130" t="str">
        <f>IFERROR(VLOOKUP(C130,Sheet4!B:C,2,0),"")</f>
        <v/>
      </c>
    </row>
    <row r="131" spans="1:8" x14ac:dyDescent="0.35">
      <c r="A131" s="4" t="s">
        <v>7</v>
      </c>
      <c r="B131" s="4" t="s">
        <v>8</v>
      </c>
      <c r="C131" s="28" t="s">
        <v>242</v>
      </c>
      <c r="D131" s="29" t="s">
        <v>51</v>
      </c>
      <c r="E131" s="5" t="s">
        <v>12</v>
      </c>
      <c r="F131" s="6"/>
      <c r="G131" s="6"/>
      <c r="H131" t="str">
        <f>IFERROR(VLOOKUP(C131,Sheet4!B:C,2,0),"")</f>
        <v/>
      </c>
    </row>
    <row r="132" spans="1:8" x14ac:dyDescent="0.35">
      <c r="A132" s="4" t="s">
        <v>7</v>
      </c>
      <c r="B132" s="4" t="s">
        <v>8</v>
      </c>
      <c r="C132" s="28" t="s">
        <v>243</v>
      </c>
      <c r="D132" s="29" t="s">
        <v>52</v>
      </c>
      <c r="E132" s="5" t="s">
        <v>10</v>
      </c>
      <c r="F132" s="6"/>
      <c r="G132" s="6"/>
      <c r="H132" t="str">
        <f>IFERROR(VLOOKUP(C132,Sheet4!B:C,2,0),"")</f>
        <v/>
      </c>
    </row>
    <row r="133" spans="1:8" x14ac:dyDescent="0.35">
      <c r="A133" s="4" t="s">
        <v>7</v>
      </c>
      <c r="B133" s="4" t="s">
        <v>8</v>
      </c>
      <c r="C133" s="28" t="s">
        <v>243</v>
      </c>
      <c r="D133" s="29" t="s">
        <v>52</v>
      </c>
      <c r="E133" s="5" t="s">
        <v>11</v>
      </c>
      <c r="F133" s="6"/>
      <c r="G133" s="6"/>
      <c r="H133" t="str">
        <f>IFERROR(VLOOKUP(C133,Sheet4!B:C,2,0),"")</f>
        <v/>
      </c>
    </row>
    <row r="134" spans="1:8" x14ac:dyDescent="0.35">
      <c r="A134" s="4" t="s">
        <v>7</v>
      </c>
      <c r="B134" s="4" t="s">
        <v>8</v>
      </c>
      <c r="C134" s="28" t="s">
        <v>243</v>
      </c>
      <c r="D134" s="29" t="s">
        <v>52</v>
      </c>
      <c r="E134" s="5" t="s">
        <v>30</v>
      </c>
      <c r="F134" s="6"/>
      <c r="G134" s="6">
        <v>0</v>
      </c>
      <c r="H134" t="str">
        <f>IFERROR(VLOOKUP(C134,Sheet4!B:C,2,0),"")</f>
        <v/>
      </c>
    </row>
    <row r="135" spans="1:8" x14ac:dyDescent="0.35">
      <c r="A135" s="4" t="s">
        <v>7</v>
      </c>
      <c r="B135" s="4" t="s">
        <v>8</v>
      </c>
      <c r="C135" s="28" t="s">
        <v>244</v>
      </c>
      <c r="D135" s="29" t="s">
        <v>53</v>
      </c>
      <c r="E135" s="5" t="s">
        <v>10</v>
      </c>
      <c r="F135" s="6">
        <v>251.55</v>
      </c>
      <c r="G135" s="6">
        <v>7.58</v>
      </c>
      <c r="H135" t="str">
        <f>IFERROR(VLOOKUP(C135,Sheet4!B:C,2,0),"")</f>
        <v/>
      </c>
    </row>
    <row r="136" spans="1:8" x14ac:dyDescent="0.35">
      <c r="A136" s="4" t="s">
        <v>7</v>
      </c>
      <c r="B136" s="4" t="s">
        <v>8</v>
      </c>
      <c r="C136" s="28" t="s">
        <v>244</v>
      </c>
      <c r="D136" s="29" t="s">
        <v>53</v>
      </c>
      <c r="E136" s="5" t="s">
        <v>11</v>
      </c>
      <c r="F136" s="6">
        <v>5320.31</v>
      </c>
      <c r="G136" s="6">
        <v>12566.53</v>
      </c>
      <c r="H136" t="str">
        <f>IFERROR(VLOOKUP(C136,Sheet4!B:C,2,0),"")</f>
        <v/>
      </c>
    </row>
    <row r="137" spans="1:8" x14ac:dyDescent="0.35">
      <c r="A137" s="4" t="s">
        <v>7</v>
      </c>
      <c r="B137" s="4" t="s">
        <v>8</v>
      </c>
      <c r="C137" s="28" t="s">
        <v>244</v>
      </c>
      <c r="D137" s="29" t="s">
        <v>53</v>
      </c>
      <c r="E137" s="5" t="s">
        <v>30</v>
      </c>
      <c r="F137" s="6">
        <v>43750</v>
      </c>
      <c r="G137" s="6">
        <v>71908.34</v>
      </c>
      <c r="H137" t="str">
        <f>IFERROR(VLOOKUP(C137,Sheet4!B:C,2,0),"")</f>
        <v/>
      </c>
    </row>
    <row r="138" spans="1:8" x14ac:dyDescent="0.35">
      <c r="A138" s="4" t="s">
        <v>7</v>
      </c>
      <c r="B138" s="4" t="s">
        <v>8</v>
      </c>
      <c r="C138" s="28" t="s">
        <v>244</v>
      </c>
      <c r="D138" s="29" t="s">
        <v>53</v>
      </c>
      <c r="E138" s="5" t="s">
        <v>12</v>
      </c>
      <c r="F138" s="6"/>
      <c r="G138" s="6"/>
      <c r="H138" t="str">
        <f>IFERROR(VLOOKUP(C138,Sheet4!B:C,2,0),"")</f>
        <v/>
      </c>
    </row>
    <row r="139" spans="1:8" x14ac:dyDescent="0.35">
      <c r="A139" s="4" t="s">
        <v>7</v>
      </c>
      <c r="B139" s="4" t="s">
        <v>8</v>
      </c>
      <c r="C139" s="28" t="s">
        <v>245</v>
      </c>
      <c r="D139" s="29" t="s">
        <v>54</v>
      </c>
      <c r="E139" s="5" t="s">
        <v>10</v>
      </c>
      <c r="F139" s="6">
        <v>1066.32</v>
      </c>
      <c r="G139" s="6"/>
      <c r="H139" t="str">
        <f>IFERROR(VLOOKUP(C139,Sheet4!B:C,2,0),"")</f>
        <v/>
      </c>
    </row>
    <row r="140" spans="1:8" x14ac:dyDescent="0.35">
      <c r="A140" s="4" t="s">
        <v>7</v>
      </c>
      <c r="B140" s="4" t="s">
        <v>8</v>
      </c>
      <c r="C140" s="28" t="s">
        <v>245</v>
      </c>
      <c r="D140" s="29" t="s">
        <v>54</v>
      </c>
      <c r="E140" s="5" t="s">
        <v>11</v>
      </c>
      <c r="F140" s="6">
        <v>4000.19</v>
      </c>
      <c r="G140" s="6">
        <v>334.32</v>
      </c>
      <c r="H140" t="str">
        <f>IFERROR(VLOOKUP(C140,Sheet4!B:C,2,0),"")</f>
        <v/>
      </c>
    </row>
    <row r="141" spans="1:8" x14ac:dyDescent="0.35">
      <c r="A141" s="4" t="s">
        <v>7</v>
      </c>
      <c r="B141" s="4" t="s">
        <v>8</v>
      </c>
      <c r="C141" s="28" t="s">
        <v>245</v>
      </c>
      <c r="D141" s="29" t="s">
        <v>54</v>
      </c>
      <c r="E141" s="5" t="s">
        <v>30</v>
      </c>
      <c r="F141" s="6">
        <v>1562.5</v>
      </c>
      <c r="G141" s="6">
        <v>-2365</v>
      </c>
      <c r="H141" t="str">
        <f>IFERROR(VLOOKUP(C141,Sheet4!B:C,2,0),"")</f>
        <v/>
      </c>
    </row>
    <row r="142" spans="1:8" x14ac:dyDescent="0.35">
      <c r="A142" s="4" t="s">
        <v>7</v>
      </c>
      <c r="B142" s="4" t="s">
        <v>8</v>
      </c>
      <c r="C142" s="28" t="s">
        <v>245</v>
      </c>
      <c r="D142" s="29" t="s">
        <v>54</v>
      </c>
      <c r="E142" s="5" t="s">
        <v>12</v>
      </c>
      <c r="F142" s="6"/>
      <c r="G142" s="6"/>
      <c r="H142" t="str">
        <f>IFERROR(VLOOKUP(C142,Sheet4!B:C,2,0),"")</f>
        <v/>
      </c>
    </row>
    <row r="143" spans="1:8" x14ac:dyDescent="0.35">
      <c r="A143" s="4" t="s">
        <v>7</v>
      </c>
      <c r="B143" s="4" t="s">
        <v>8</v>
      </c>
      <c r="C143" s="28" t="s">
        <v>246</v>
      </c>
      <c r="D143" s="29" t="s">
        <v>55</v>
      </c>
      <c r="E143" s="5" t="s">
        <v>11</v>
      </c>
      <c r="F143" s="6"/>
      <c r="G143" s="6">
        <v>0</v>
      </c>
      <c r="H143" t="str">
        <f>IFERROR(VLOOKUP(C143,Sheet4!B:C,2,0),"")</f>
        <v/>
      </c>
    </row>
    <row r="144" spans="1:8" x14ac:dyDescent="0.35">
      <c r="A144" s="4" t="s">
        <v>7</v>
      </c>
      <c r="B144" s="4" t="s">
        <v>8</v>
      </c>
      <c r="C144" s="28" t="s">
        <v>247</v>
      </c>
      <c r="D144" s="29" t="s">
        <v>56</v>
      </c>
      <c r="E144" s="5" t="s">
        <v>11</v>
      </c>
      <c r="F144" s="6"/>
      <c r="G144" s="6">
        <v>24.59</v>
      </c>
      <c r="H144" t="str">
        <f>IFERROR(VLOOKUP(C144,Sheet4!B:C,2,0),"")</f>
        <v/>
      </c>
    </row>
    <row r="145" spans="1:8" x14ac:dyDescent="0.35">
      <c r="A145" s="4" t="s">
        <v>7</v>
      </c>
      <c r="B145" s="4" t="s">
        <v>8</v>
      </c>
      <c r="C145" s="28" t="s">
        <v>248</v>
      </c>
      <c r="D145" s="29" t="s">
        <v>57</v>
      </c>
      <c r="E145" s="5" t="s">
        <v>11</v>
      </c>
      <c r="F145" s="6">
        <v>483.56</v>
      </c>
      <c r="G145" s="6">
        <v>-154.56</v>
      </c>
      <c r="H145" t="str">
        <f>IFERROR(VLOOKUP(C145,Sheet4!B:C,2,0),"")</f>
        <v/>
      </c>
    </row>
    <row r="146" spans="1:8" x14ac:dyDescent="0.35">
      <c r="A146" s="4" t="s">
        <v>7</v>
      </c>
      <c r="B146" s="4" t="s">
        <v>8</v>
      </c>
      <c r="C146" s="28" t="s">
        <v>248</v>
      </c>
      <c r="D146" s="29" t="s">
        <v>57</v>
      </c>
      <c r="E146" s="5" t="s">
        <v>30</v>
      </c>
      <c r="F146" s="6">
        <v>22298.5</v>
      </c>
      <c r="G146" s="6">
        <v>27387.09</v>
      </c>
      <c r="H146" t="str">
        <f>IFERROR(VLOOKUP(C146,Sheet4!B:C,2,0),"")</f>
        <v/>
      </c>
    </row>
    <row r="147" spans="1:8" x14ac:dyDescent="0.35">
      <c r="A147" s="4" t="s">
        <v>7</v>
      </c>
      <c r="B147" s="4" t="s">
        <v>8</v>
      </c>
      <c r="C147" s="28" t="s">
        <v>249</v>
      </c>
      <c r="D147" s="29" t="s">
        <v>58</v>
      </c>
      <c r="E147" s="5" t="s">
        <v>11</v>
      </c>
      <c r="F147" s="6"/>
      <c r="G147" s="6">
        <v>7.35</v>
      </c>
      <c r="H147" t="str">
        <f>IFERROR(VLOOKUP(C147,Sheet4!B:C,2,0),"")</f>
        <v/>
      </c>
    </row>
    <row r="148" spans="1:8" x14ac:dyDescent="0.35">
      <c r="A148" s="4" t="s">
        <v>7</v>
      </c>
      <c r="B148" s="4" t="s">
        <v>8</v>
      </c>
      <c r="C148" s="28" t="s">
        <v>250</v>
      </c>
      <c r="D148" s="29" t="s">
        <v>59</v>
      </c>
      <c r="E148" s="5" t="s">
        <v>10</v>
      </c>
      <c r="F148" s="6"/>
      <c r="G148" s="6"/>
      <c r="H148" t="str">
        <f>IFERROR(VLOOKUP(C148,Sheet4!B:C,2,0),"")</f>
        <v/>
      </c>
    </row>
    <row r="149" spans="1:8" x14ac:dyDescent="0.35">
      <c r="A149" s="4" t="s">
        <v>7</v>
      </c>
      <c r="B149" s="4" t="s">
        <v>8</v>
      </c>
      <c r="C149" s="28" t="s">
        <v>250</v>
      </c>
      <c r="D149" s="29" t="s">
        <v>59</v>
      </c>
      <c r="E149" s="5" t="s">
        <v>11</v>
      </c>
      <c r="F149" s="6">
        <v>25762.37</v>
      </c>
      <c r="G149" s="6">
        <v>43508.83</v>
      </c>
      <c r="H149" t="str">
        <f>IFERROR(VLOOKUP(C149,Sheet4!B:C,2,0),"")</f>
        <v/>
      </c>
    </row>
    <row r="150" spans="1:8" x14ac:dyDescent="0.35">
      <c r="A150" s="4" t="s">
        <v>7</v>
      </c>
      <c r="B150" s="4" t="s">
        <v>8</v>
      </c>
      <c r="C150" s="28" t="s">
        <v>250</v>
      </c>
      <c r="D150" s="29" t="s">
        <v>59</v>
      </c>
      <c r="E150" s="5" t="s">
        <v>30</v>
      </c>
      <c r="F150" s="6">
        <v>71949.34</v>
      </c>
      <c r="G150" s="6">
        <v>2365</v>
      </c>
      <c r="H150" t="str">
        <f>IFERROR(VLOOKUP(C150,Sheet4!B:C,2,0),"")</f>
        <v/>
      </c>
    </row>
    <row r="151" spans="1:8" x14ac:dyDescent="0.35">
      <c r="A151" s="4" t="s">
        <v>7</v>
      </c>
      <c r="B151" s="4" t="s">
        <v>8</v>
      </c>
      <c r="C151" s="28" t="s">
        <v>251</v>
      </c>
      <c r="D151" s="29" t="s">
        <v>60</v>
      </c>
      <c r="E151" s="5" t="s">
        <v>10</v>
      </c>
      <c r="F151" s="6">
        <v>978.79</v>
      </c>
      <c r="G151" s="6"/>
      <c r="H151" t="str">
        <f>IFERROR(VLOOKUP(C151,Sheet4!B:C,2,0),"")</f>
        <v/>
      </c>
    </row>
    <row r="152" spans="1:8" x14ac:dyDescent="0.35">
      <c r="A152" s="4" t="s">
        <v>7</v>
      </c>
      <c r="B152" s="4" t="s">
        <v>8</v>
      </c>
      <c r="C152" s="28" t="s">
        <v>251</v>
      </c>
      <c r="D152" s="29" t="s">
        <v>60</v>
      </c>
      <c r="E152" s="5" t="s">
        <v>11</v>
      </c>
      <c r="F152" s="6">
        <v>1179.3</v>
      </c>
      <c r="G152" s="6">
        <v>1245.44</v>
      </c>
      <c r="H152" t="str">
        <f>IFERROR(VLOOKUP(C152,Sheet4!B:C,2,0),"")</f>
        <v/>
      </c>
    </row>
    <row r="153" spans="1:8" x14ac:dyDescent="0.35">
      <c r="A153" s="4" t="s">
        <v>7</v>
      </c>
      <c r="B153" s="4" t="s">
        <v>8</v>
      </c>
      <c r="C153" s="28" t="s">
        <v>251</v>
      </c>
      <c r="D153" s="29" t="s">
        <v>60</v>
      </c>
      <c r="E153" s="5" t="s">
        <v>30</v>
      </c>
      <c r="F153" s="6"/>
      <c r="G153" s="6">
        <v>0</v>
      </c>
      <c r="H153" t="str">
        <f>IFERROR(VLOOKUP(C153,Sheet4!B:C,2,0),"")</f>
        <v/>
      </c>
    </row>
    <row r="154" spans="1:8" x14ac:dyDescent="0.35">
      <c r="A154" s="4" t="s">
        <v>7</v>
      </c>
      <c r="B154" s="4" t="s">
        <v>8</v>
      </c>
      <c r="C154" s="28" t="s">
        <v>251</v>
      </c>
      <c r="D154" s="29" t="s">
        <v>60</v>
      </c>
      <c r="E154" s="5" t="s">
        <v>12</v>
      </c>
      <c r="F154" s="6"/>
      <c r="G154" s="6"/>
      <c r="H154" t="str">
        <f>IFERROR(VLOOKUP(C154,Sheet4!B:C,2,0),"")</f>
        <v/>
      </c>
    </row>
    <row r="155" spans="1:8" x14ac:dyDescent="0.35">
      <c r="A155" s="4" t="s">
        <v>7</v>
      </c>
      <c r="B155" s="4" t="s">
        <v>8</v>
      </c>
      <c r="C155" s="28" t="s">
        <v>252</v>
      </c>
      <c r="D155" s="29" t="s">
        <v>61</v>
      </c>
      <c r="E155" s="5" t="s">
        <v>10</v>
      </c>
      <c r="F155" s="6">
        <v>66.17</v>
      </c>
      <c r="G155" s="6">
        <v>-24.5</v>
      </c>
      <c r="H155" t="str">
        <f>IFERROR(VLOOKUP(C155,Sheet4!B:C,2,0),"")</f>
        <v/>
      </c>
    </row>
    <row r="156" spans="1:8" x14ac:dyDescent="0.35">
      <c r="A156" s="4" t="s">
        <v>7</v>
      </c>
      <c r="B156" s="4" t="s">
        <v>8</v>
      </c>
      <c r="C156" s="28" t="s">
        <v>252</v>
      </c>
      <c r="D156" s="29" t="s">
        <v>61</v>
      </c>
      <c r="E156" s="5" t="s">
        <v>11</v>
      </c>
      <c r="F156" s="6">
        <v>-1242.01</v>
      </c>
      <c r="G156" s="6">
        <v>49.54</v>
      </c>
      <c r="H156" t="str">
        <f>IFERROR(VLOOKUP(C156,Sheet4!B:C,2,0),"")</f>
        <v/>
      </c>
    </row>
    <row r="157" spans="1:8" x14ac:dyDescent="0.35">
      <c r="A157" s="4" t="s">
        <v>7</v>
      </c>
      <c r="B157" s="4" t="s">
        <v>8</v>
      </c>
      <c r="C157" s="28" t="s">
        <v>252</v>
      </c>
      <c r="D157" s="29" t="s">
        <v>61</v>
      </c>
      <c r="E157" s="5" t="s">
        <v>12</v>
      </c>
      <c r="F157" s="6"/>
      <c r="G157" s="6"/>
      <c r="H157" t="str">
        <f>IFERROR(VLOOKUP(C157,Sheet4!B:C,2,0),"")</f>
        <v/>
      </c>
    </row>
    <row r="158" spans="1:8" x14ac:dyDescent="0.35">
      <c r="A158" s="4" t="s">
        <v>7</v>
      </c>
      <c r="B158" s="4" t="s">
        <v>8</v>
      </c>
      <c r="C158" s="28" t="s">
        <v>253</v>
      </c>
      <c r="D158" s="29" t="s">
        <v>62</v>
      </c>
      <c r="E158" s="5" t="s">
        <v>11</v>
      </c>
      <c r="F158" s="6"/>
      <c r="G158" s="6">
        <v>0</v>
      </c>
      <c r="H158" t="str">
        <f>IFERROR(VLOOKUP(C158,Sheet4!B:C,2,0),"")</f>
        <v/>
      </c>
    </row>
    <row r="159" spans="1:8" x14ac:dyDescent="0.35">
      <c r="A159" s="4" t="s">
        <v>7</v>
      </c>
      <c r="B159" s="4" t="s">
        <v>8</v>
      </c>
      <c r="C159" s="28" t="s">
        <v>254</v>
      </c>
      <c r="D159" s="29" t="s">
        <v>63</v>
      </c>
      <c r="E159" s="5" t="s">
        <v>10</v>
      </c>
      <c r="F159" s="6"/>
      <c r="G159" s="6"/>
      <c r="H159" t="str">
        <f>IFERROR(VLOOKUP(C159,Sheet4!B:C,2,0),"")</f>
        <v/>
      </c>
    </row>
    <row r="160" spans="1:8" x14ac:dyDescent="0.35">
      <c r="A160" s="4" t="s">
        <v>7</v>
      </c>
      <c r="B160" s="4" t="s">
        <v>8</v>
      </c>
      <c r="C160" s="28" t="s">
        <v>254</v>
      </c>
      <c r="D160" s="29" t="s">
        <v>63</v>
      </c>
      <c r="E160" s="5" t="s">
        <v>11</v>
      </c>
      <c r="F160" s="6">
        <v>183.1</v>
      </c>
      <c r="G160" s="6">
        <v>-295.27</v>
      </c>
      <c r="H160" t="str">
        <f>IFERROR(VLOOKUP(C160,Sheet4!B:C,2,0),"")</f>
        <v/>
      </c>
    </row>
    <row r="161" spans="1:8" x14ac:dyDescent="0.35">
      <c r="A161" s="4" t="s">
        <v>7</v>
      </c>
      <c r="B161" s="4" t="s">
        <v>8</v>
      </c>
      <c r="C161" s="28" t="s">
        <v>254</v>
      </c>
      <c r="D161" s="29" t="s">
        <v>63</v>
      </c>
      <c r="E161" s="5" t="s">
        <v>30</v>
      </c>
      <c r="F161" s="6"/>
      <c r="G161" s="6"/>
      <c r="H161" t="str">
        <f>IFERROR(VLOOKUP(C161,Sheet4!B:C,2,0),"")</f>
        <v/>
      </c>
    </row>
    <row r="162" spans="1:8" x14ac:dyDescent="0.35">
      <c r="A162" s="4" t="s">
        <v>7</v>
      </c>
      <c r="B162" s="4" t="s">
        <v>8</v>
      </c>
      <c r="C162" s="28" t="s">
        <v>254</v>
      </c>
      <c r="D162" s="29" t="s">
        <v>63</v>
      </c>
      <c r="E162" s="5" t="s">
        <v>12</v>
      </c>
      <c r="F162" s="6">
        <v>-183.1</v>
      </c>
      <c r="G162" s="6"/>
      <c r="H162" t="str">
        <f>IFERROR(VLOOKUP(C162,Sheet4!B:C,2,0),"")</f>
        <v/>
      </c>
    </row>
    <row r="163" spans="1:8" x14ac:dyDescent="0.35">
      <c r="A163" s="4" t="s">
        <v>7</v>
      </c>
      <c r="B163" s="4" t="s">
        <v>8</v>
      </c>
      <c r="C163" s="28" t="s">
        <v>255</v>
      </c>
      <c r="D163" s="29" t="s">
        <v>64</v>
      </c>
      <c r="E163" s="5" t="s">
        <v>29</v>
      </c>
      <c r="F163" s="6"/>
      <c r="G163" s="6"/>
      <c r="H163" t="str">
        <f>IFERROR(VLOOKUP(C163,Sheet4!B:C,2,0),"")</f>
        <v/>
      </c>
    </row>
    <row r="164" spans="1:8" x14ac:dyDescent="0.35">
      <c r="A164" s="4" t="s">
        <v>7</v>
      </c>
      <c r="B164" s="4" t="s">
        <v>8</v>
      </c>
      <c r="C164" s="28" t="s">
        <v>255</v>
      </c>
      <c r="D164" s="29" t="s">
        <v>64</v>
      </c>
      <c r="E164" s="5" t="s">
        <v>12</v>
      </c>
      <c r="F164" s="6">
        <v>22363.58</v>
      </c>
      <c r="G164" s="6">
        <v>21920.83</v>
      </c>
      <c r="H164" t="str">
        <f>IFERROR(VLOOKUP(C164,Sheet4!B:C,2,0),"")</f>
        <v/>
      </c>
    </row>
    <row r="165" spans="1:8" x14ac:dyDescent="0.35">
      <c r="A165" s="4" t="s">
        <v>7</v>
      </c>
      <c r="B165" s="4" t="s">
        <v>8</v>
      </c>
      <c r="C165" s="28" t="s">
        <v>256</v>
      </c>
      <c r="D165" s="29" t="s">
        <v>65</v>
      </c>
      <c r="E165" s="5" t="s">
        <v>10</v>
      </c>
      <c r="F165" s="6"/>
      <c r="G165" s="6"/>
      <c r="H165" t="str">
        <f>IFERROR(VLOOKUP(C165,Sheet4!B:C,2,0),"")</f>
        <v/>
      </c>
    </row>
    <row r="166" spans="1:8" x14ac:dyDescent="0.35">
      <c r="A166" s="4" t="s">
        <v>7</v>
      </c>
      <c r="B166" s="4" t="s">
        <v>8</v>
      </c>
      <c r="C166" s="28" t="s">
        <v>257</v>
      </c>
      <c r="D166" s="29" t="s">
        <v>66</v>
      </c>
      <c r="E166" s="5" t="s">
        <v>10</v>
      </c>
      <c r="F166" s="6"/>
      <c r="G166" s="6"/>
      <c r="H166" t="str">
        <f>IFERROR(VLOOKUP(C166,Sheet4!B:C,2,0),"")</f>
        <v/>
      </c>
    </row>
    <row r="167" spans="1:8" x14ac:dyDescent="0.35">
      <c r="A167" s="4" t="s">
        <v>7</v>
      </c>
      <c r="B167" s="4" t="s">
        <v>8</v>
      </c>
      <c r="C167" s="28" t="s">
        <v>257</v>
      </c>
      <c r="D167" s="29" t="s">
        <v>66</v>
      </c>
      <c r="E167" s="5" t="s">
        <v>11</v>
      </c>
      <c r="F167" s="6"/>
      <c r="G167" s="6"/>
      <c r="H167" t="str">
        <f>IFERROR(VLOOKUP(C167,Sheet4!B:C,2,0),"")</f>
        <v/>
      </c>
    </row>
    <row r="168" spans="1:8" x14ac:dyDescent="0.35">
      <c r="A168" s="4" t="s">
        <v>7</v>
      </c>
      <c r="B168" s="4" t="s">
        <v>8</v>
      </c>
      <c r="C168" s="28" t="s">
        <v>258</v>
      </c>
      <c r="D168" s="29" t="s">
        <v>67</v>
      </c>
      <c r="E168" s="5" t="s">
        <v>10</v>
      </c>
      <c r="F168" s="6">
        <v>28298</v>
      </c>
      <c r="G168" s="6">
        <v>10797</v>
      </c>
      <c r="H168" t="str">
        <f>IFERROR(VLOOKUP(C168,Sheet4!B:C,2,0),"")</f>
        <v/>
      </c>
    </row>
    <row r="169" spans="1:8" x14ac:dyDescent="0.35">
      <c r="A169" s="4" t="s">
        <v>7</v>
      </c>
      <c r="B169" s="4" t="s">
        <v>8</v>
      </c>
      <c r="C169" s="28" t="s">
        <v>258</v>
      </c>
      <c r="D169" s="29" t="s">
        <v>67</v>
      </c>
      <c r="E169" s="5" t="s">
        <v>11</v>
      </c>
      <c r="F169" s="6">
        <v>14826.45</v>
      </c>
      <c r="G169" s="6">
        <v>11307.77</v>
      </c>
      <c r="H169" t="str">
        <f>IFERROR(VLOOKUP(C169,Sheet4!B:C,2,0),"")</f>
        <v/>
      </c>
    </row>
    <row r="170" spans="1:8" x14ac:dyDescent="0.35">
      <c r="A170" s="4" t="s">
        <v>7</v>
      </c>
      <c r="B170" s="4" t="s">
        <v>8</v>
      </c>
      <c r="C170" s="28" t="s">
        <v>258</v>
      </c>
      <c r="D170" s="29" t="s">
        <v>67</v>
      </c>
      <c r="E170" s="5" t="s">
        <v>12</v>
      </c>
      <c r="F170" s="6">
        <v>7574.5</v>
      </c>
      <c r="G170" s="6">
        <v>7474.5</v>
      </c>
      <c r="H170" t="str">
        <f>IFERROR(VLOOKUP(C170,Sheet4!B:C,2,0),"")</f>
        <v/>
      </c>
    </row>
    <row r="171" spans="1:8" x14ac:dyDescent="0.35">
      <c r="A171" s="4" t="s">
        <v>7</v>
      </c>
      <c r="B171" s="4" t="s">
        <v>8</v>
      </c>
      <c r="C171" s="28" t="s">
        <v>259</v>
      </c>
      <c r="D171" s="29" t="s">
        <v>68</v>
      </c>
      <c r="E171" s="5" t="s">
        <v>10</v>
      </c>
      <c r="F171" s="6">
        <v>839.18</v>
      </c>
      <c r="G171" s="6"/>
      <c r="H171" t="str">
        <f>IFERROR(VLOOKUP(C171,Sheet4!B:C,2,0),"")</f>
        <v/>
      </c>
    </row>
    <row r="172" spans="1:8" x14ac:dyDescent="0.35">
      <c r="A172" s="4" t="s">
        <v>7</v>
      </c>
      <c r="B172" s="4" t="s">
        <v>8</v>
      </c>
      <c r="C172" s="28" t="s">
        <v>259</v>
      </c>
      <c r="D172" s="29" t="s">
        <v>68</v>
      </c>
      <c r="E172" s="5" t="s">
        <v>11</v>
      </c>
      <c r="F172" s="6">
        <v>0</v>
      </c>
      <c r="G172" s="6">
        <v>260.99</v>
      </c>
      <c r="H172" t="str">
        <f>IFERROR(VLOOKUP(C172,Sheet4!B:C,2,0),"")</f>
        <v/>
      </c>
    </row>
    <row r="173" spans="1:8" x14ac:dyDescent="0.35">
      <c r="A173" s="4" t="s">
        <v>7</v>
      </c>
      <c r="B173" s="4" t="s">
        <v>8</v>
      </c>
      <c r="C173" s="28" t="s">
        <v>259</v>
      </c>
      <c r="D173" s="29" t="s">
        <v>68</v>
      </c>
      <c r="E173" s="5" t="s">
        <v>12</v>
      </c>
      <c r="F173" s="6"/>
      <c r="G173" s="6"/>
      <c r="H173" t="str">
        <f>IFERROR(VLOOKUP(C173,Sheet4!B:C,2,0),"")</f>
        <v/>
      </c>
    </row>
    <row r="174" spans="1:8" x14ac:dyDescent="0.35">
      <c r="A174" s="4" t="s">
        <v>7</v>
      </c>
      <c r="B174" s="4" t="s">
        <v>8</v>
      </c>
      <c r="C174" s="28" t="s">
        <v>260</v>
      </c>
      <c r="D174" s="29" t="s">
        <v>69</v>
      </c>
      <c r="E174" s="5" t="s">
        <v>29</v>
      </c>
      <c r="F174" s="6"/>
      <c r="G174" s="6"/>
      <c r="H174" t="str">
        <f>IFERROR(VLOOKUP(C174,Sheet4!B:C,2,0),"")</f>
        <v/>
      </c>
    </row>
    <row r="175" spans="1:8" x14ac:dyDescent="0.35">
      <c r="A175" s="4" t="s">
        <v>7</v>
      </c>
      <c r="B175" s="4" t="s">
        <v>8</v>
      </c>
      <c r="C175" s="28" t="s">
        <v>260</v>
      </c>
      <c r="D175" s="29" t="s">
        <v>69</v>
      </c>
      <c r="E175" s="5" t="s">
        <v>10</v>
      </c>
      <c r="F175" s="6">
        <v>3603.91</v>
      </c>
      <c r="G175" s="6">
        <v>14962.75</v>
      </c>
      <c r="H175" t="str">
        <f>IFERROR(VLOOKUP(C175,Sheet4!B:C,2,0),"")</f>
        <v/>
      </c>
    </row>
    <row r="176" spans="1:8" x14ac:dyDescent="0.35">
      <c r="A176" s="4" t="s">
        <v>7</v>
      </c>
      <c r="B176" s="4" t="s">
        <v>8</v>
      </c>
      <c r="C176" s="28" t="s">
        <v>260</v>
      </c>
      <c r="D176" s="29" t="s">
        <v>69</v>
      </c>
      <c r="E176" s="5" t="s">
        <v>11</v>
      </c>
      <c r="F176" s="6"/>
      <c r="G176" s="6">
        <v>268.38</v>
      </c>
      <c r="H176" t="str">
        <f>IFERROR(VLOOKUP(C176,Sheet4!B:C,2,0),"")</f>
        <v/>
      </c>
    </row>
    <row r="177" spans="1:8" x14ac:dyDescent="0.35">
      <c r="A177" s="4" t="s">
        <v>7</v>
      </c>
      <c r="B177" s="4" t="s">
        <v>8</v>
      </c>
      <c r="C177" s="28" t="s">
        <v>261</v>
      </c>
      <c r="D177" s="29" t="s">
        <v>262</v>
      </c>
      <c r="E177" s="5" t="s">
        <v>11</v>
      </c>
      <c r="F177" s="6"/>
      <c r="G177" s="6"/>
      <c r="H177" t="str">
        <f>IFERROR(VLOOKUP(C177,Sheet4!B:C,2,0),"")</f>
        <v/>
      </c>
    </row>
    <row r="178" spans="1:8" x14ac:dyDescent="0.35">
      <c r="A178" s="4" t="s">
        <v>7</v>
      </c>
      <c r="B178" s="4" t="s">
        <v>8</v>
      </c>
      <c r="C178" s="28" t="s">
        <v>263</v>
      </c>
      <c r="D178" s="29" t="s">
        <v>70</v>
      </c>
      <c r="E178" s="5" t="s">
        <v>29</v>
      </c>
      <c r="F178" s="6"/>
      <c r="G178" s="6"/>
      <c r="H178" t="str">
        <f>IFERROR(VLOOKUP(C178,Sheet4!B:C,2,0),"")</f>
        <v/>
      </c>
    </row>
    <row r="179" spans="1:8" x14ac:dyDescent="0.35">
      <c r="A179" s="4" t="s">
        <v>7</v>
      </c>
      <c r="B179" s="4" t="s">
        <v>8</v>
      </c>
      <c r="C179" s="28" t="s">
        <v>263</v>
      </c>
      <c r="D179" s="29" t="s">
        <v>70</v>
      </c>
      <c r="E179" s="5" t="s">
        <v>10</v>
      </c>
      <c r="F179" s="6">
        <v>4587.58</v>
      </c>
      <c r="G179" s="6">
        <v>1011.37</v>
      </c>
      <c r="H179" t="str">
        <f>IFERROR(VLOOKUP(C179,Sheet4!B:C,2,0),"")</f>
        <v/>
      </c>
    </row>
    <row r="180" spans="1:8" x14ac:dyDescent="0.35">
      <c r="A180" s="4" t="s">
        <v>7</v>
      </c>
      <c r="B180" s="4" t="s">
        <v>8</v>
      </c>
      <c r="C180" s="28" t="s">
        <v>263</v>
      </c>
      <c r="D180" s="29" t="s">
        <v>70</v>
      </c>
      <c r="E180" s="5" t="s">
        <v>11</v>
      </c>
      <c r="F180" s="6">
        <v>12280.07</v>
      </c>
      <c r="G180" s="6">
        <v>74.88</v>
      </c>
      <c r="H180" t="str">
        <f>IFERROR(VLOOKUP(C180,Sheet4!B:C,2,0),"")</f>
        <v/>
      </c>
    </row>
    <row r="181" spans="1:8" x14ac:dyDescent="0.35">
      <c r="A181" s="4" t="s">
        <v>7</v>
      </c>
      <c r="B181" s="4" t="s">
        <v>8</v>
      </c>
      <c r="C181" s="28" t="s">
        <v>263</v>
      </c>
      <c r="D181" s="29" t="s">
        <v>70</v>
      </c>
      <c r="E181" s="5" t="s">
        <v>12</v>
      </c>
      <c r="F181" s="6">
        <v>6835.34</v>
      </c>
      <c r="G181" s="6">
        <v>4319.13</v>
      </c>
      <c r="H181" t="str">
        <f>IFERROR(VLOOKUP(C181,Sheet4!B:C,2,0),"")</f>
        <v/>
      </c>
    </row>
    <row r="182" spans="1:8" x14ac:dyDescent="0.35">
      <c r="A182" s="4" t="s">
        <v>7</v>
      </c>
      <c r="B182" s="4" t="s">
        <v>8</v>
      </c>
      <c r="C182" s="28" t="s">
        <v>264</v>
      </c>
      <c r="D182" s="29" t="s">
        <v>71</v>
      </c>
      <c r="E182" s="5" t="s">
        <v>29</v>
      </c>
      <c r="F182" s="6">
        <v>7285.25</v>
      </c>
      <c r="G182" s="6">
        <v>3350</v>
      </c>
      <c r="H182" t="str">
        <f>IFERROR(VLOOKUP(C182,Sheet4!B:C,2,0),"")</f>
        <v/>
      </c>
    </row>
    <row r="183" spans="1:8" x14ac:dyDescent="0.35">
      <c r="A183" s="4" t="s">
        <v>7</v>
      </c>
      <c r="B183" s="4" t="s">
        <v>8</v>
      </c>
      <c r="C183" s="28" t="s">
        <v>264</v>
      </c>
      <c r="D183" s="29" t="s">
        <v>71</v>
      </c>
      <c r="E183" s="5" t="s">
        <v>10</v>
      </c>
      <c r="F183" s="6">
        <v>1638.11</v>
      </c>
      <c r="G183" s="6">
        <v>3360.52</v>
      </c>
      <c r="H183" t="str">
        <f>IFERROR(VLOOKUP(C183,Sheet4!B:C,2,0),"")</f>
        <v/>
      </c>
    </row>
    <row r="184" spans="1:8" x14ac:dyDescent="0.35">
      <c r="A184" s="4" t="s">
        <v>7</v>
      </c>
      <c r="B184" s="4" t="s">
        <v>8</v>
      </c>
      <c r="C184" s="28" t="s">
        <v>264</v>
      </c>
      <c r="D184" s="29" t="s">
        <v>71</v>
      </c>
      <c r="E184" s="5" t="s">
        <v>11</v>
      </c>
      <c r="F184" s="6">
        <v>456.11</v>
      </c>
      <c r="G184" s="6">
        <v>4955.17</v>
      </c>
      <c r="H184" t="str">
        <f>IFERROR(VLOOKUP(C184,Sheet4!B:C,2,0),"")</f>
        <v/>
      </c>
    </row>
    <row r="185" spans="1:8" x14ac:dyDescent="0.35">
      <c r="A185" s="4" t="s">
        <v>7</v>
      </c>
      <c r="B185" s="4" t="s">
        <v>8</v>
      </c>
      <c r="C185" s="28" t="s">
        <v>264</v>
      </c>
      <c r="D185" s="29" t="s">
        <v>71</v>
      </c>
      <c r="E185" s="5" t="s">
        <v>12</v>
      </c>
      <c r="F185" s="6">
        <v>685.16</v>
      </c>
      <c r="G185" s="6">
        <v>10762.03</v>
      </c>
      <c r="H185" t="str">
        <f>IFERROR(VLOOKUP(C185,Sheet4!B:C,2,0),"")</f>
        <v/>
      </c>
    </row>
    <row r="186" spans="1:8" x14ac:dyDescent="0.35">
      <c r="A186" s="4" t="s">
        <v>7</v>
      </c>
      <c r="B186" s="4" t="s">
        <v>8</v>
      </c>
      <c r="C186" s="28" t="s">
        <v>265</v>
      </c>
      <c r="D186" s="29" t="s">
        <v>72</v>
      </c>
      <c r="E186" s="5" t="s">
        <v>10</v>
      </c>
      <c r="F186" s="6">
        <v>34871.54</v>
      </c>
      <c r="G186" s="6">
        <v>11271.67</v>
      </c>
      <c r="H186" t="str">
        <f>IFERROR(VLOOKUP(C186,Sheet4!B:C,2,0),"")</f>
        <v/>
      </c>
    </row>
    <row r="187" spans="1:8" x14ac:dyDescent="0.35">
      <c r="A187" s="4" t="s">
        <v>7</v>
      </c>
      <c r="B187" s="4" t="s">
        <v>8</v>
      </c>
      <c r="C187" s="28" t="s">
        <v>265</v>
      </c>
      <c r="D187" s="29" t="s">
        <v>72</v>
      </c>
      <c r="E187" s="5" t="s">
        <v>11</v>
      </c>
      <c r="F187" s="6">
        <v>0</v>
      </c>
      <c r="G187" s="6">
        <v>6.43</v>
      </c>
      <c r="H187" t="str">
        <f>IFERROR(VLOOKUP(C187,Sheet4!B:C,2,0),"")</f>
        <v/>
      </c>
    </row>
    <row r="188" spans="1:8" x14ac:dyDescent="0.35">
      <c r="A188" s="4" t="s">
        <v>7</v>
      </c>
      <c r="B188" s="4" t="s">
        <v>8</v>
      </c>
      <c r="C188" s="28" t="s">
        <v>265</v>
      </c>
      <c r="D188" s="29" t="s">
        <v>72</v>
      </c>
      <c r="E188" s="5" t="s">
        <v>12</v>
      </c>
      <c r="F188" s="6"/>
      <c r="G188" s="6"/>
      <c r="H188" t="str">
        <f>IFERROR(VLOOKUP(C188,Sheet4!B:C,2,0),"")</f>
        <v/>
      </c>
    </row>
    <row r="189" spans="1:8" x14ac:dyDescent="0.35">
      <c r="A189" s="4" t="s">
        <v>7</v>
      </c>
      <c r="B189" s="4" t="s">
        <v>8</v>
      </c>
      <c r="C189" s="28" t="s">
        <v>266</v>
      </c>
      <c r="D189" s="29" t="s">
        <v>73</v>
      </c>
      <c r="E189" s="5" t="s">
        <v>10</v>
      </c>
      <c r="F189" s="6">
        <v>697.95</v>
      </c>
      <c r="G189" s="6">
        <v>4803.63</v>
      </c>
      <c r="H189" t="str">
        <f>IFERROR(VLOOKUP(C189,Sheet4!B:C,2,0),"")</f>
        <v/>
      </c>
    </row>
    <row r="190" spans="1:8" x14ac:dyDescent="0.35">
      <c r="A190" s="4" t="s">
        <v>7</v>
      </c>
      <c r="B190" s="4" t="s">
        <v>8</v>
      </c>
      <c r="C190" s="28" t="s">
        <v>266</v>
      </c>
      <c r="D190" s="29" t="s">
        <v>73</v>
      </c>
      <c r="E190" s="5" t="s">
        <v>11</v>
      </c>
      <c r="F190" s="6">
        <v>32.15</v>
      </c>
      <c r="G190" s="6"/>
      <c r="H190" t="str">
        <f>IFERROR(VLOOKUP(C190,Sheet4!B:C,2,0),"")</f>
        <v/>
      </c>
    </row>
    <row r="191" spans="1:8" x14ac:dyDescent="0.35">
      <c r="A191" s="4" t="s">
        <v>7</v>
      </c>
      <c r="B191" s="4" t="s">
        <v>8</v>
      </c>
      <c r="C191" s="28" t="s">
        <v>266</v>
      </c>
      <c r="D191" s="29" t="s">
        <v>73</v>
      </c>
      <c r="E191" s="5" t="s">
        <v>12</v>
      </c>
      <c r="F191" s="6"/>
      <c r="G191" s="6"/>
      <c r="H191" t="str">
        <f>IFERROR(VLOOKUP(C191,Sheet4!B:C,2,0),"")</f>
        <v/>
      </c>
    </row>
    <row r="192" spans="1:8" x14ac:dyDescent="0.35">
      <c r="A192" s="4" t="s">
        <v>7</v>
      </c>
      <c r="B192" s="4" t="s">
        <v>8</v>
      </c>
      <c r="C192" s="28" t="s">
        <v>267</v>
      </c>
      <c r="D192" s="29" t="s">
        <v>74</v>
      </c>
      <c r="E192" s="5" t="s">
        <v>29</v>
      </c>
      <c r="F192" s="6"/>
      <c r="G192" s="6">
        <v>85.99</v>
      </c>
      <c r="H192" t="str">
        <f>IFERROR(VLOOKUP(C192,Sheet4!B:C,2,0),"")</f>
        <v/>
      </c>
    </row>
    <row r="193" spans="1:8" x14ac:dyDescent="0.35">
      <c r="A193" s="4" t="s">
        <v>7</v>
      </c>
      <c r="B193" s="4" t="s">
        <v>8</v>
      </c>
      <c r="C193" s="28" t="s">
        <v>267</v>
      </c>
      <c r="D193" s="29" t="s">
        <v>74</v>
      </c>
      <c r="E193" s="5" t="s">
        <v>10</v>
      </c>
      <c r="F193" s="6">
        <v>5915.41</v>
      </c>
      <c r="G193" s="6">
        <v>376.97</v>
      </c>
      <c r="H193" t="str">
        <f>IFERROR(VLOOKUP(C193,Sheet4!B:C,2,0),"")</f>
        <v/>
      </c>
    </row>
    <row r="194" spans="1:8" x14ac:dyDescent="0.35">
      <c r="A194" s="4" t="s">
        <v>7</v>
      </c>
      <c r="B194" s="4" t="s">
        <v>8</v>
      </c>
      <c r="C194" s="28" t="s">
        <v>267</v>
      </c>
      <c r="D194" s="29" t="s">
        <v>74</v>
      </c>
      <c r="E194" s="5" t="s">
        <v>11</v>
      </c>
      <c r="F194" s="6">
        <v>1923.18</v>
      </c>
      <c r="G194" s="6">
        <v>-292.17</v>
      </c>
      <c r="H194" t="str">
        <f>IFERROR(VLOOKUP(C194,Sheet4!B:C,2,0),"")</f>
        <v/>
      </c>
    </row>
    <row r="195" spans="1:8" x14ac:dyDescent="0.35">
      <c r="A195" s="4" t="s">
        <v>7</v>
      </c>
      <c r="B195" s="4" t="s">
        <v>8</v>
      </c>
      <c r="C195" s="28" t="s">
        <v>267</v>
      </c>
      <c r="D195" s="29" t="s">
        <v>74</v>
      </c>
      <c r="E195" s="5" t="s">
        <v>12</v>
      </c>
      <c r="F195" s="6">
        <v>30945.95</v>
      </c>
      <c r="G195" s="6">
        <v>16860.36</v>
      </c>
      <c r="H195" t="str">
        <f>IFERROR(VLOOKUP(C195,Sheet4!B:C,2,0),"")</f>
        <v/>
      </c>
    </row>
    <row r="196" spans="1:8" x14ac:dyDescent="0.35">
      <c r="A196" s="4" t="s">
        <v>7</v>
      </c>
      <c r="B196" s="4" t="s">
        <v>8</v>
      </c>
      <c r="C196" s="28" t="s">
        <v>268</v>
      </c>
      <c r="D196" s="29" t="s">
        <v>75</v>
      </c>
      <c r="E196" s="5" t="s">
        <v>29</v>
      </c>
      <c r="F196" s="6"/>
      <c r="G196" s="6"/>
      <c r="H196" t="str">
        <f>IFERROR(VLOOKUP(C196,Sheet4!B:C,2,0),"")</f>
        <v/>
      </c>
    </row>
    <row r="197" spans="1:8" x14ac:dyDescent="0.35">
      <c r="A197" s="4" t="s">
        <v>7</v>
      </c>
      <c r="B197" s="4" t="s">
        <v>8</v>
      </c>
      <c r="C197" s="28" t="s">
        <v>268</v>
      </c>
      <c r="D197" s="29" t="s">
        <v>75</v>
      </c>
      <c r="E197" s="5" t="s">
        <v>10</v>
      </c>
      <c r="F197" s="6">
        <v>163.9</v>
      </c>
      <c r="G197" s="6">
        <v>98.97</v>
      </c>
      <c r="H197" t="str">
        <f>IFERROR(VLOOKUP(C197,Sheet4!B:C,2,0),"")</f>
        <v/>
      </c>
    </row>
    <row r="198" spans="1:8" x14ac:dyDescent="0.35">
      <c r="A198" s="4" t="s">
        <v>7</v>
      </c>
      <c r="B198" s="4" t="s">
        <v>8</v>
      </c>
      <c r="C198" s="28" t="s">
        <v>268</v>
      </c>
      <c r="D198" s="29" t="s">
        <v>75</v>
      </c>
      <c r="E198" s="5" t="s">
        <v>11</v>
      </c>
      <c r="F198" s="6">
        <v>2836.71</v>
      </c>
      <c r="G198" s="6">
        <v>2892.41</v>
      </c>
      <c r="H198" t="str">
        <f>IFERROR(VLOOKUP(C198,Sheet4!B:C,2,0),"")</f>
        <v/>
      </c>
    </row>
    <row r="199" spans="1:8" x14ac:dyDescent="0.35">
      <c r="A199" s="4" t="s">
        <v>7</v>
      </c>
      <c r="B199" s="4" t="s">
        <v>8</v>
      </c>
      <c r="C199" s="28" t="s">
        <v>268</v>
      </c>
      <c r="D199" s="29" t="s">
        <v>75</v>
      </c>
      <c r="E199" s="5" t="s">
        <v>30</v>
      </c>
      <c r="F199" s="6">
        <v>192</v>
      </c>
      <c r="G199" s="6">
        <v>136</v>
      </c>
      <c r="H199" t="str">
        <f>IFERROR(VLOOKUP(C199,Sheet4!B:C,2,0),"")</f>
        <v/>
      </c>
    </row>
    <row r="200" spans="1:8" x14ac:dyDescent="0.35">
      <c r="A200" s="4" t="s">
        <v>7</v>
      </c>
      <c r="B200" s="4" t="s">
        <v>8</v>
      </c>
      <c r="C200" s="28" t="s">
        <v>268</v>
      </c>
      <c r="D200" s="29" t="s">
        <v>75</v>
      </c>
      <c r="E200" s="5" t="s">
        <v>12</v>
      </c>
      <c r="F200" s="6">
        <v>6918.57</v>
      </c>
      <c r="G200" s="6">
        <v>6073.19</v>
      </c>
      <c r="H200" t="str">
        <f>IFERROR(VLOOKUP(C200,Sheet4!B:C,2,0),"")</f>
        <v/>
      </c>
    </row>
    <row r="201" spans="1:8" x14ac:dyDescent="0.35">
      <c r="A201" s="4" t="s">
        <v>7</v>
      </c>
      <c r="B201" s="4" t="s">
        <v>8</v>
      </c>
      <c r="C201" s="28" t="s">
        <v>269</v>
      </c>
      <c r="D201" s="29" t="s">
        <v>76</v>
      </c>
      <c r="E201" s="5" t="s">
        <v>29</v>
      </c>
      <c r="F201" s="6"/>
      <c r="G201" s="6">
        <v>21.49</v>
      </c>
      <c r="H201" t="str">
        <f>IFERROR(VLOOKUP(C201,Sheet4!B:C,2,0),"")</f>
        <v/>
      </c>
    </row>
    <row r="202" spans="1:8" x14ac:dyDescent="0.35">
      <c r="A202" s="4" t="s">
        <v>7</v>
      </c>
      <c r="B202" s="4" t="s">
        <v>8</v>
      </c>
      <c r="C202" s="28" t="s">
        <v>269</v>
      </c>
      <c r="D202" s="29" t="s">
        <v>76</v>
      </c>
      <c r="E202" s="5" t="s">
        <v>10</v>
      </c>
      <c r="F202" s="6">
        <v>2088.8200000000002</v>
      </c>
      <c r="G202" s="6">
        <v>-375.77</v>
      </c>
      <c r="H202" t="str">
        <f>IFERROR(VLOOKUP(C202,Sheet4!B:C,2,0),"")</f>
        <v/>
      </c>
    </row>
    <row r="203" spans="1:8" x14ac:dyDescent="0.35">
      <c r="A203" s="4" t="s">
        <v>7</v>
      </c>
      <c r="B203" s="4" t="s">
        <v>8</v>
      </c>
      <c r="C203" s="28" t="s">
        <v>269</v>
      </c>
      <c r="D203" s="29" t="s">
        <v>76</v>
      </c>
      <c r="E203" s="5" t="s">
        <v>11</v>
      </c>
      <c r="F203" s="6">
        <v>2094.87</v>
      </c>
      <c r="G203" s="6">
        <v>6358.98</v>
      </c>
      <c r="H203" t="str">
        <f>IFERROR(VLOOKUP(C203,Sheet4!B:C,2,0),"")</f>
        <v/>
      </c>
    </row>
    <row r="204" spans="1:8" x14ac:dyDescent="0.35">
      <c r="A204" s="4" t="s">
        <v>7</v>
      </c>
      <c r="B204" s="4" t="s">
        <v>8</v>
      </c>
      <c r="C204" s="28" t="s">
        <v>269</v>
      </c>
      <c r="D204" s="29" t="s">
        <v>76</v>
      </c>
      <c r="E204" s="5" t="s">
        <v>12</v>
      </c>
      <c r="F204" s="6"/>
      <c r="G204" s="6"/>
      <c r="H204" t="str">
        <f>IFERROR(VLOOKUP(C204,Sheet4!B:C,2,0),"")</f>
        <v/>
      </c>
    </row>
    <row r="205" spans="1:8" x14ac:dyDescent="0.35">
      <c r="A205" s="4" t="s">
        <v>7</v>
      </c>
      <c r="B205" s="4" t="s">
        <v>8</v>
      </c>
      <c r="C205" s="28" t="s">
        <v>270</v>
      </c>
      <c r="D205" s="29" t="s">
        <v>77</v>
      </c>
      <c r="E205" s="5" t="s">
        <v>10</v>
      </c>
      <c r="F205" s="6">
        <v>8804.4500000000007</v>
      </c>
      <c r="G205" s="6">
        <v>-2766.07</v>
      </c>
      <c r="H205" t="str">
        <f>IFERROR(VLOOKUP(C205,Sheet4!B:C,2,0),"")</f>
        <v/>
      </c>
    </row>
    <row r="206" spans="1:8" x14ac:dyDescent="0.35">
      <c r="A206" s="4" t="s">
        <v>7</v>
      </c>
      <c r="B206" s="4" t="s">
        <v>8</v>
      </c>
      <c r="C206" s="28" t="s">
        <v>270</v>
      </c>
      <c r="D206" s="29" t="s">
        <v>77</v>
      </c>
      <c r="E206" s="5" t="s">
        <v>11</v>
      </c>
      <c r="F206" s="6">
        <v>-3734.53</v>
      </c>
      <c r="G206" s="6">
        <v>-4187.5</v>
      </c>
      <c r="H206" t="str">
        <f>IFERROR(VLOOKUP(C206,Sheet4!B:C,2,0),"")</f>
        <v/>
      </c>
    </row>
    <row r="207" spans="1:8" x14ac:dyDescent="0.35">
      <c r="A207" s="4" t="s">
        <v>7</v>
      </c>
      <c r="B207" s="4" t="s">
        <v>8</v>
      </c>
      <c r="C207" s="28" t="s">
        <v>270</v>
      </c>
      <c r="D207" s="29" t="s">
        <v>77</v>
      </c>
      <c r="E207" s="5" t="s">
        <v>12</v>
      </c>
      <c r="F207" s="6"/>
      <c r="G207" s="6">
        <v>0</v>
      </c>
      <c r="H207" t="str">
        <f>IFERROR(VLOOKUP(C207,Sheet4!B:C,2,0),"")</f>
        <v/>
      </c>
    </row>
    <row r="208" spans="1:8" x14ac:dyDescent="0.35">
      <c r="A208" s="4" t="s">
        <v>7</v>
      </c>
      <c r="B208" s="4" t="s">
        <v>8</v>
      </c>
      <c r="C208" s="28" t="s">
        <v>271</v>
      </c>
      <c r="D208" s="29" t="s">
        <v>78</v>
      </c>
      <c r="E208" s="5" t="s">
        <v>12</v>
      </c>
      <c r="F208" s="6"/>
      <c r="G208" s="6"/>
      <c r="H208" t="str">
        <f>IFERROR(VLOOKUP(C208,Sheet4!B:C,2,0),"")</f>
        <v/>
      </c>
    </row>
    <row r="209" spans="1:8" x14ac:dyDescent="0.35">
      <c r="A209" s="4" t="s">
        <v>7</v>
      </c>
      <c r="B209" s="4" t="s">
        <v>8</v>
      </c>
      <c r="C209" s="28" t="s">
        <v>272</v>
      </c>
      <c r="D209" s="29" t="s">
        <v>79</v>
      </c>
      <c r="E209" s="5" t="s">
        <v>10</v>
      </c>
      <c r="F209" s="6"/>
      <c r="G209" s="6"/>
      <c r="H209" t="str">
        <f>IFERROR(VLOOKUP(C209,Sheet4!B:C,2,0),"")</f>
        <v/>
      </c>
    </row>
    <row r="210" spans="1:8" x14ac:dyDescent="0.35">
      <c r="A210" s="4" t="s">
        <v>7</v>
      </c>
      <c r="B210" s="4" t="s">
        <v>8</v>
      </c>
      <c r="C210" s="28" t="s">
        <v>272</v>
      </c>
      <c r="D210" s="29" t="s">
        <v>79</v>
      </c>
      <c r="E210" s="5" t="s">
        <v>11</v>
      </c>
      <c r="F210" s="6"/>
      <c r="G210" s="6"/>
      <c r="H210" t="str">
        <f>IFERROR(VLOOKUP(C210,Sheet4!B:C,2,0),"")</f>
        <v/>
      </c>
    </row>
    <row r="211" spans="1:8" x14ac:dyDescent="0.35">
      <c r="A211" s="4" t="s">
        <v>7</v>
      </c>
      <c r="B211" s="4" t="s">
        <v>8</v>
      </c>
      <c r="C211" s="28" t="s">
        <v>273</v>
      </c>
      <c r="D211" s="29" t="s">
        <v>80</v>
      </c>
      <c r="E211" s="5" t="s">
        <v>29</v>
      </c>
      <c r="F211" s="6">
        <v>16203</v>
      </c>
      <c r="G211" s="6">
        <v>16203</v>
      </c>
      <c r="H211" t="str">
        <f>IFERROR(VLOOKUP(C211,Sheet4!B:C,2,0),"")</f>
        <v/>
      </c>
    </row>
    <row r="212" spans="1:8" x14ac:dyDescent="0.35">
      <c r="A212" s="4" t="s">
        <v>7</v>
      </c>
      <c r="B212" s="4" t="s">
        <v>8</v>
      </c>
      <c r="C212" s="28" t="s">
        <v>273</v>
      </c>
      <c r="D212" s="29" t="s">
        <v>80</v>
      </c>
      <c r="E212" s="5" t="s">
        <v>10</v>
      </c>
      <c r="F212" s="6">
        <v>54392.74</v>
      </c>
      <c r="G212" s="6">
        <v>15878.63</v>
      </c>
      <c r="H212" t="str">
        <f>IFERROR(VLOOKUP(C212,Sheet4!B:C,2,0),"")</f>
        <v/>
      </c>
    </row>
    <row r="213" spans="1:8" x14ac:dyDescent="0.35">
      <c r="A213" s="4" t="s">
        <v>7</v>
      </c>
      <c r="B213" s="4" t="s">
        <v>8</v>
      </c>
      <c r="C213" s="28" t="s">
        <v>273</v>
      </c>
      <c r="D213" s="29" t="s">
        <v>80</v>
      </c>
      <c r="E213" s="5" t="s">
        <v>11</v>
      </c>
      <c r="F213" s="6">
        <v>55649.34</v>
      </c>
      <c r="G213" s="6">
        <v>35494.400000000001</v>
      </c>
      <c r="H213" t="str">
        <f>IFERROR(VLOOKUP(C213,Sheet4!B:C,2,0),"")</f>
        <v/>
      </c>
    </row>
    <row r="214" spans="1:8" x14ac:dyDescent="0.35">
      <c r="A214" s="4" t="s">
        <v>7</v>
      </c>
      <c r="B214" s="4" t="s">
        <v>8</v>
      </c>
      <c r="C214" s="28" t="s">
        <v>273</v>
      </c>
      <c r="D214" s="29" t="s">
        <v>80</v>
      </c>
      <c r="E214" s="5" t="s">
        <v>12</v>
      </c>
      <c r="F214" s="6">
        <v>118015.25</v>
      </c>
      <c r="G214" s="6">
        <v>114577.91</v>
      </c>
      <c r="H214" t="str">
        <f>IFERROR(VLOOKUP(C214,Sheet4!B:C,2,0),"")</f>
        <v/>
      </c>
    </row>
    <row r="215" spans="1:8" x14ac:dyDescent="0.35">
      <c r="A215" s="4" t="s">
        <v>7</v>
      </c>
      <c r="B215" s="4" t="s">
        <v>8</v>
      </c>
      <c r="C215" s="28" t="s">
        <v>274</v>
      </c>
      <c r="D215" s="29" t="s">
        <v>81</v>
      </c>
      <c r="E215" s="5" t="s">
        <v>29</v>
      </c>
      <c r="F215" s="6">
        <v>4086</v>
      </c>
      <c r="G215" s="6">
        <v>4086</v>
      </c>
      <c r="H215" t="str">
        <f>IFERROR(VLOOKUP(C215,Sheet4!B:C,2,0),"")</f>
        <v/>
      </c>
    </row>
    <row r="216" spans="1:8" x14ac:dyDescent="0.35">
      <c r="A216" s="4" t="s">
        <v>7</v>
      </c>
      <c r="B216" s="4" t="s">
        <v>8</v>
      </c>
      <c r="C216" s="28" t="s">
        <v>274</v>
      </c>
      <c r="D216" s="29" t="s">
        <v>81</v>
      </c>
      <c r="E216" s="5" t="s">
        <v>10</v>
      </c>
      <c r="F216" s="6">
        <v>41045.71</v>
      </c>
      <c r="G216" s="6">
        <v>51136.29</v>
      </c>
      <c r="H216" t="str">
        <f>IFERROR(VLOOKUP(C216,Sheet4!B:C,2,0),"")</f>
        <v/>
      </c>
    </row>
    <row r="217" spans="1:8" x14ac:dyDescent="0.35">
      <c r="A217" s="4" t="s">
        <v>7</v>
      </c>
      <c r="B217" s="4" t="s">
        <v>8</v>
      </c>
      <c r="C217" s="28" t="s">
        <v>274</v>
      </c>
      <c r="D217" s="29" t="s">
        <v>81</v>
      </c>
      <c r="E217" s="5" t="s">
        <v>11</v>
      </c>
      <c r="F217" s="6">
        <v>12258</v>
      </c>
      <c r="G217" s="6">
        <v>20430</v>
      </c>
      <c r="H217" t="str">
        <f>IFERROR(VLOOKUP(C217,Sheet4!B:C,2,0),"")</f>
        <v/>
      </c>
    </row>
    <row r="218" spans="1:8" x14ac:dyDescent="0.35">
      <c r="A218" s="4" t="s">
        <v>7</v>
      </c>
      <c r="B218" s="4" t="s">
        <v>8</v>
      </c>
      <c r="C218" s="28" t="s">
        <v>275</v>
      </c>
      <c r="D218" s="29" t="s">
        <v>82</v>
      </c>
      <c r="E218" s="5" t="s">
        <v>29</v>
      </c>
      <c r="F218" s="6">
        <v>-31730.29</v>
      </c>
      <c r="G218" s="6">
        <v>-25940.42</v>
      </c>
      <c r="H218" t="str">
        <f>IFERROR(VLOOKUP(C218,Sheet4!B:C,2,0),"")</f>
        <v/>
      </c>
    </row>
    <row r="219" spans="1:8" x14ac:dyDescent="0.35">
      <c r="A219" s="4" t="s">
        <v>7</v>
      </c>
      <c r="B219" s="4" t="s">
        <v>8</v>
      </c>
      <c r="C219" s="28" t="s">
        <v>275</v>
      </c>
      <c r="D219" s="29" t="s">
        <v>82</v>
      </c>
      <c r="E219" s="5" t="s">
        <v>10</v>
      </c>
      <c r="F219" s="6">
        <v>-8666.65</v>
      </c>
      <c r="G219" s="6">
        <v>-112247.67999999999</v>
      </c>
      <c r="H219" t="str">
        <f>IFERROR(VLOOKUP(C219,Sheet4!B:C,2,0),"")</f>
        <v/>
      </c>
    </row>
    <row r="220" spans="1:8" x14ac:dyDescent="0.35">
      <c r="A220" s="4" t="s">
        <v>7</v>
      </c>
      <c r="B220" s="4" t="s">
        <v>8</v>
      </c>
      <c r="C220" s="28" t="s">
        <v>275</v>
      </c>
      <c r="D220" s="29" t="s">
        <v>82</v>
      </c>
      <c r="E220" s="5" t="s">
        <v>11</v>
      </c>
      <c r="F220" s="6">
        <v>-8557.92</v>
      </c>
      <c r="G220" s="6">
        <v>-7390.18</v>
      </c>
      <c r="H220" t="str">
        <f>IFERROR(VLOOKUP(C220,Sheet4!B:C,2,0),"")</f>
        <v/>
      </c>
    </row>
    <row r="221" spans="1:8" x14ac:dyDescent="0.35">
      <c r="A221" s="4" t="s">
        <v>7</v>
      </c>
      <c r="B221" s="4" t="s">
        <v>8</v>
      </c>
      <c r="C221" s="28" t="s">
        <v>275</v>
      </c>
      <c r="D221" s="29" t="s">
        <v>82</v>
      </c>
      <c r="E221" s="5" t="s">
        <v>12</v>
      </c>
      <c r="F221" s="6">
        <v>-43562.58</v>
      </c>
      <c r="G221" s="6">
        <v>-29505.86</v>
      </c>
      <c r="H221" t="str">
        <f>IFERROR(VLOOKUP(C221,Sheet4!B:C,2,0),"")</f>
        <v/>
      </c>
    </row>
    <row r="222" spans="1:8" x14ac:dyDescent="0.35">
      <c r="A222" s="4" t="s">
        <v>7</v>
      </c>
      <c r="B222" s="4" t="s">
        <v>8</v>
      </c>
      <c r="C222" s="28" t="s">
        <v>276</v>
      </c>
      <c r="D222" s="29" t="s">
        <v>83</v>
      </c>
      <c r="E222" s="5" t="s">
        <v>11</v>
      </c>
      <c r="F222" s="6">
        <v>-57897.99</v>
      </c>
      <c r="G222" s="6">
        <v>-62180.34</v>
      </c>
      <c r="H222" t="str">
        <f>IFERROR(VLOOKUP(C222,Sheet4!B:C,2,0),"")</f>
        <v/>
      </c>
    </row>
    <row r="223" spans="1:8" x14ac:dyDescent="0.35">
      <c r="A223" s="4" t="s">
        <v>7</v>
      </c>
      <c r="B223" s="4" t="s">
        <v>8</v>
      </c>
      <c r="C223" s="28" t="s">
        <v>277</v>
      </c>
      <c r="D223" s="29" t="s">
        <v>84</v>
      </c>
      <c r="E223" s="5" t="s">
        <v>10</v>
      </c>
      <c r="F223" s="6"/>
      <c r="G223" s="6"/>
      <c r="H223" t="str">
        <f>IFERROR(VLOOKUP(C223,Sheet4!B:C,2,0),"")</f>
        <v/>
      </c>
    </row>
    <row r="224" spans="1:8" x14ac:dyDescent="0.35">
      <c r="A224" s="4" t="s">
        <v>7</v>
      </c>
      <c r="B224" s="4" t="s">
        <v>8</v>
      </c>
      <c r="C224" s="28" t="s">
        <v>277</v>
      </c>
      <c r="D224" s="29" t="s">
        <v>84</v>
      </c>
      <c r="E224" s="5" t="s">
        <v>11</v>
      </c>
      <c r="F224" s="6">
        <v>0</v>
      </c>
      <c r="G224" s="6"/>
      <c r="H224" t="str">
        <f>IFERROR(VLOOKUP(C224,Sheet4!B:C,2,0),"")</f>
        <v/>
      </c>
    </row>
    <row r="225" spans="1:8" x14ac:dyDescent="0.35">
      <c r="A225" s="4" t="s">
        <v>7</v>
      </c>
      <c r="B225" s="4" t="s">
        <v>8</v>
      </c>
      <c r="C225" s="28" t="s">
        <v>277</v>
      </c>
      <c r="D225" s="29" t="s">
        <v>84</v>
      </c>
      <c r="E225" s="5" t="s">
        <v>12</v>
      </c>
      <c r="F225" s="6"/>
      <c r="G225" s="6"/>
      <c r="H225" t="str">
        <f>IFERROR(VLOOKUP(C225,Sheet4!B:C,2,0),"")</f>
        <v/>
      </c>
    </row>
    <row r="226" spans="1:8" x14ac:dyDescent="0.35">
      <c r="A226" s="4" t="s">
        <v>7</v>
      </c>
      <c r="B226" s="4" t="s">
        <v>8</v>
      </c>
      <c r="C226" s="28" t="s">
        <v>278</v>
      </c>
      <c r="D226" s="29" t="s">
        <v>85</v>
      </c>
      <c r="E226" s="5" t="s">
        <v>29</v>
      </c>
      <c r="F226" s="6"/>
      <c r="G226" s="6">
        <v>0</v>
      </c>
      <c r="H226" t="str">
        <f>IFERROR(VLOOKUP(C226,Sheet4!B:C,2,0),"")</f>
        <v/>
      </c>
    </row>
    <row r="227" spans="1:8" x14ac:dyDescent="0.35">
      <c r="A227" s="4" t="s">
        <v>7</v>
      </c>
      <c r="B227" s="4" t="s">
        <v>8</v>
      </c>
      <c r="C227" s="28" t="s">
        <v>278</v>
      </c>
      <c r="D227" s="29" t="s">
        <v>85</v>
      </c>
      <c r="E227" s="5" t="s">
        <v>10</v>
      </c>
      <c r="F227" s="6">
        <v>7193</v>
      </c>
      <c r="G227" s="6">
        <v>10959.81</v>
      </c>
      <c r="H227" t="str">
        <f>IFERROR(VLOOKUP(C227,Sheet4!B:C,2,0),"")</f>
        <v/>
      </c>
    </row>
    <row r="228" spans="1:8" x14ac:dyDescent="0.35">
      <c r="A228" s="4" t="s">
        <v>7</v>
      </c>
      <c r="B228" s="4" t="s">
        <v>8</v>
      </c>
      <c r="C228" s="28" t="s">
        <v>278</v>
      </c>
      <c r="D228" s="29" t="s">
        <v>85</v>
      </c>
      <c r="E228" s="5" t="s">
        <v>11</v>
      </c>
      <c r="F228" s="6">
        <v>8700.6200000000008</v>
      </c>
      <c r="G228" s="6">
        <v>1171.1400000000001</v>
      </c>
      <c r="H228" t="str">
        <f>IFERROR(VLOOKUP(C228,Sheet4!B:C,2,0),"")</f>
        <v/>
      </c>
    </row>
    <row r="229" spans="1:8" x14ac:dyDescent="0.35">
      <c r="A229" s="4" t="s">
        <v>7</v>
      </c>
      <c r="B229" s="4" t="s">
        <v>8</v>
      </c>
      <c r="C229" s="28" t="s">
        <v>278</v>
      </c>
      <c r="D229" s="29" t="s">
        <v>85</v>
      </c>
      <c r="E229" s="5" t="s">
        <v>12</v>
      </c>
      <c r="F229" s="6">
        <v>70820.820000000007</v>
      </c>
      <c r="G229" s="6">
        <v>56011.65</v>
      </c>
      <c r="H229" t="str">
        <f>IFERROR(VLOOKUP(C229,Sheet4!B:C,2,0),"")</f>
        <v/>
      </c>
    </row>
    <row r="230" spans="1:8" x14ac:dyDescent="0.35">
      <c r="A230" s="4" t="s">
        <v>7</v>
      </c>
      <c r="B230" s="4" t="s">
        <v>8</v>
      </c>
      <c r="C230" s="28" t="s">
        <v>279</v>
      </c>
      <c r="D230" s="29" t="s">
        <v>86</v>
      </c>
      <c r="E230" s="5" t="s">
        <v>29</v>
      </c>
      <c r="F230" s="6">
        <v>-71.069999999999993</v>
      </c>
      <c r="G230" s="6">
        <v>-106.19</v>
      </c>
      <c r="H230" t="str">
        <f>IFERROR(VLOOKUP(C230,Sheet4!B:C,2,0),"")</f>
        <v/>
      </c>
    </row>
    <row r="231" spans="1:8" x14ac:dyDescent="0.35">
      <c r="A231" s="4" t="s">
        <v>7</v>
      </c>
      <c r="B231" s="4" t="s">
        <v>8</v>
      </c>
      <c r="C231" s="28" t="s">
        <v>279</v>
      </c>
      <c r="D231" s="29" t="s">
        <v>86</v>
      </c>
      <c r="E231" s="5" t="s">
        <v>10</v>
      </c>
      <c r="F231" s="6">
        <v>5875.51</v>
      </c>
      <c r="G231" s="6">
        <v>1240.1300000000001</v>
      </c>
      <c r="H231" t="str">
        <f>IFERROR(VLOOKUP(C231,Sheet4!B:C,2,0),"")</f>
        <v/>
      </c>
    </row>
    <row r="232" spans="1:8" x14ac:dyDescent="0.35">
      <c r="A232" s="4" t="s">
        <v>7</v>
      </c>
      <c r="B232" s="4" t="s">
        <v>8</v>
      </c>
      <c r="C232" s="28" t="s">
        <v>279</v>
      </c>
      <c r="D232" s="29" t="s">
        <v>86</v>
      </c>
      <c r="E232" s="5" t="s">
        <v>11</v>
      </c>
      <c r="F232" s="6">
        <v>3611.52</v>
      </c>
      <c r="G232" s="6">
        <v>-340.1</v>
      </c>
      <c r="H232" t="str">
        <f>IFERROR(VLOOKUP(C232,Sheet4!B:C,2,0),"")</f>
        <v/>
      </c>
    </row>
    <row r="233" spans="1:8" x14ac:dyDescent="0.35">
      <c r="A233" s="4" t="s">
        <v>7</v>
      </c>
      <c r="B233" s="4" t="s">
        <v>8</v>
      </c>
      <c r="C233" s="28" t="s">
        <v>279</v>
      </c>
      <c r="D233" s="29" t="s">
        <v>86</v>
      </c>
      <c r="E233" s="5" t="s">
        <v>12</v>
      </c>
      <c r="F233" s="6">
        <v>142.16999999999999</v>
      </c>
      <c r="G233" s="6">
        <v>1410.32</v>
      </c>
      <c r="H233" t="str">
        <f>IFERROR(VLOOKUP(C233,Sheet4!B:C,2,0),"")</f>
        <v/>
      </c>
    </row>
    <row r="234" spans="1:8" x14ac:dyDescent="0.35">
      <c r="A234" s="4" t="s">
        <v>7</v>
      </c>
      <c r="B234" s="4" t="s">
        <v>8</v>
      </c>
      <c r="C234" s="28" t="s">
        <v>280</v>
      </c>
      <c r="D234" s="29" t="s">
        <v>87</v>
      </c>
      <c r="E234" s="5" t="s">
        <v>29</v>
      </c>
      <c r="F234" s="6">
        <v>20</v>
      </c>
      <c r="G234" s="6"/>
      <c r="H234" t="str">
        <f>IFERROR(VLOOKUP(C234,Sheet4!B:C,2,0),"")</f>
        <v/>
      </c>
    </row>
    <row r="235" spans="1:8" x14ac:dyDescent="0.35">
      <c r="A235" s="4" t="s">
        <v>7</v>
      </c>
      <c r="B235" s="4" t="s">
        <v>8</v>
      </c>
      <c r="C235" s="28" t="s">
        <v>280</v>
      </c>
      <c r="D235" s="29" t="s">
        <v>87</v>
      </c>
      <c r="E235" s="5" t="s">
        <v>10</v>
      </c>
      <c r="F235" s="6">
        <v>1818.97</v>
      </c>
      <c r="G235" s="6">
        <v>3734.56</v>
      </c>
      <c r="H235" t="str">
        <f>IFERROR(VLOOKUP(C235,Sheet4!B:C,2,0),"")</f>
        <v/>
      </c>
    </row>
    <row r="236" spans="1:8" x14ac:dyDescent="0.35">
      <c r="A236" s="4" t="s">
        <v>7</v>
      </c>
      <c r="B236" s="4" t="s">
        <v>8</v>
      </c>
      <c r="C236" s="28" t="s">
        <v>280</v>
      </c>
      <c r="D236" s="29" t="s">
        <v>87</v>
      </c>
      <c r="E236" s="5" t="s">
        <v>11</v>
      </c>
      <c r="F236" s="6">
        <v>626.08000000000004</v>
      </c>
      <c r="G236" s="6">
        <v>543.39</v>
      </c>
      <c r="H236" t="str">
        <f>IFERROR(VLOOKUP(C236,Sheet4!B:C,2,0),"")</f>
        <v/>
      </c>
    </row>
    <row r="237" spans="1:8" x14ac:dyDescent="0.35">
      <c r="A237" s="4" t="s">
        <v>7</v>
      </c>
      <c r="B237" s="4" t="s">
        <v>8</v>
      </c>
      <c r="C237" s="28" t="s">
        <v>280</v>
      </c>
      <c r="D237" s="29" t="s">
        <v>87</v>
      </c>
      <c r="E237" s="5" t="s">
        <v>30</v>
      </c>
      <c r="F237" s="6"/>
      <c r="G237" s="6"/>
      <c r="H237" t="str">
        <f>IFERROR(VLOOKUP(C237,Sheet4!B:C,2,0),"")</f>
        <v/>
      </c>
    </row>
    <row r="238" spans="1:8" x14ac:dyDescent="0.35">
      <c r="A238" s="4" t="s">
        <v>7</v>
      </c>
      <c r="B238" s="4" t="s">
        <v>8</v>
      </c>
      <c r="C238" s="28" t="s">
        <v>280</v>
      </c>
      <c r="D238" s="29" t="s">
        <v>87</v>
      </c>
      <c r="E238" s="5" t="s">
        <v>12</v>
      </c>
      <c r="F238" s="6">
        <v>1194.6500000000001</v>
      </c>
      <c r="G238" s="6">
        <v>441.15</v>
      </c>
      <c r="H238" t="str">
        <f>IFERROR(VLOOKUP(C238,Sheet4!B:C,2,0),"")</f>
        <v/>
      </c>
    </row>
    <row r="239" spans="1:8" x14ac:dyDescent="0.35">
      <c r="A239" s="4" t="s">
        <v>7</v>
      </c>
      <c r="B239" s="4" t="s">
        <v>8</v>
      </c>
      <c r="C239" s="28" t="s">
        <v>281</v>
      </c>
      <c r="D239" s="29" t="s">
        <v>88</v>
      </c>
      <c r="E239" s="5" t="s">
        <v>29</v>
      </c>
      <c r="F239" s="6">
        <v>-24.7</v>
      </c>
      <c r="G239" s="6">
        <v>50.24</v>
      </c>
      <c r="H239" t="str">
        <f>IFERROR(VLOOKUP(C239,Sheet4!B:C,2,0),"")</f>
        <v/>
      </c>
    </row>
    <row r="240" spans="1:8" x14ac:dyDescent="0.35">
      <c r="A240" s="4" t="s">
        <v>7</v>
      </c>
      <c r="B240" s="4" t="s">
        <v>8</v>
      </c>
      <c r="C240" s="28" t="s">
        <v>281</v>
      </c>
      <c r="D240" s="29" t="s">
        <v>88</v>
      </c>
      <c r="E240" s="5" t="s">
        <v>10</v>
      </c>
      <c r="F240" s="6">
        <v>55248.4</v>
      </c>
      <c r="G240" s="6">
        <v>10767.59</v>
      </c>
      <c r="H240" t="str">
        <f>IFERROR(VLOOKUP(C240,Sheet4!B:C,2,0),"")</f>
        <v/>
      </c>
    </row>
    <row r="241" spans="1:8" x14ac:dyDescent="0.35">
      <c r="A241" s="4" t="s">
        <v>7</v>
      </c>
      <c r="B241" s="4" t="s">
        <v>8</v>
      </c>
      <c r="C241" s="28" t="s">
        <v>281</v>
      </c>
      <c r="D241" s="29" t="s">
        <v>88</v>
      </c>
      <c r="E241" s="5" t="s">
        <v>11</v>
      </c>
      <c r="F241" s="6">
        <v>59111.74</v>
      </c>
      <c r="G241" s="6">
        <v>9418.1299999999992</v>
      </c>
      <c r="H241" t="str">
        <f>IFERROR(VLOOKUP(C241,Sheet4!B:C,2,0),"")</f>
        <v/>
      </c>
    </row>
    <row r="242" spans="1:8" x14ac:dyDescent="0.35">
      <c r="A242" s="4" t="s">
        <v>7</v>
      </c>
      <c r="B242" s="4" t="s">
        <v>8</v>
      </c>
      <c r="C242" s="28" t="s">
        <v>281</v>
      </c>
      <c r="D242" s="29" t="s">
        <v>88</v>
      </c>
      <c r="E242" s="5" t="s">
        <v>12</v>
      </c>
      <c r="F242" s="6">
        <v>1003.61</v>
      </c>
      <c r="G242" s="6">
        <v>761.24</v>
      </c>
      <c r="H242" t="str">
        <f>IFERROR(VLOOKUP(C242,Sheet4!B:C,2,0),"")</f>
        <v/>
      </c>
    </row>
    <row r="243" spans="1:8" x14ac:dyDescent="0.35">
      <c r="A243" s="4" t="s">
        <v>7</v>
      </c>
      <c r="B243" s="4" t="s">
        <v>8</v>
      </c>
      <c r="C243" s="28" t="s">
        <v>282</v>
      </c>
      <c r="D243" s="29" t="s">
        <v>89</v>
      </c>
      <c r="E243" s="5" t="s">
        <v>10</v>
      </c>
      <c r="F243" s="6">
        <v>360.13</v>
      </c>
      <c r="G243" s="6">
        <v>1995.68</v>
      </c>
      <c r="H243" t="str">
        <f>IFERROR(VLOOKUP(C243,Sheet4!B:C,2,0),"")</f>
        <v/>
      </c>
    </row>
    <row r="244" spans="1:8" x14ac:dyDescent="0.35">
      <c r="A244" s="4" t="s">
        <v>7</v>
      </c>
      <c r="B244" s="4" t="s">
        <v>8</v>
      </c>
      <c r="C244" s="28" t="s">
        <v>282</v>
      </c>
      <c r="D244" s="29" t="s">
        <v>89</v>
      </c>
      <c r="E244" s="5" t="s">
        <v>11</v>
      </c>
      <c r="F244" s="6">
        <v>7.51</v>
      </c>
      <c r="G244" s="6">
        <v>1063.5899999999999</v>
      </c>
      <c r="H244" t="str">
        <f>IFERROR(VLOOKUP(C244,Sheet4!B:C,2,0),"")</f>
        <v/>
      </c>
    </row>
    <row r="245" spans="1:8" x14ac:dyDescent="0.35">
      <c r="A245" s="4" t="s">
        <v>7</v>
      </c>
      <c r="B245" s="4" t="s">
        <v>8</v>
      </c>
      <c r="C245" s="28" t="s">
        <v>282</v>
      </c>
      <c r="D245" s="29" t="s">
        <v>89</v>
      </c>
      <c r="E245" s="5" t="s">
        <v>12</v>
      </c>
      <c r="F245" s="6"/>
      <c r="G245" s="6">
        <v>123.6</v>
      </c>
      <c r="H245" t="str">
        <f>IFERROR(VLOOKUP(C245,Sheet4!B:C,2,0),"")</f>
        <v/>
      </c>
    </row>
    <row r="246" spans="1:8" x14ac:dyDescent="0.35">
      <c r="A246" s="4" t="s">
        <v>7</v>
      </c>
      <c r="B246" s="4" t="s">
        <v>8</v>
      </c>
      <c r="C246" s="28" t="s">
        <v>283</v>
      </c>
      <c r="D246" s="29" t="s">
        <v>90</v>
      </c>
      <c r="E246" s="5" t="s">
        <v>12</v>
      </c>
      <c r="F246" s="6">
        <v>3007.6</v>
      </c>
      <c r="G246" s="6">
        <v>5104.16</v>
      </c>
      <c r="H246" t="str">
        <f>IFERROR(VLOOKUP(C246,Sheet4!B:C,2,0),"")</f>
        <v/>
      </c>
    </row>
    <row r="247" spans="1:8" x14ac:dyDescent="0.35">
      <c r="A247" s="4" t="s">
        <v>7</v>
      </c>
      <c r="B247" s="4" t="s">
        <v>8</v>
      </c>
      <c r="C247" s="28" t="s">
        <v>284</v>
      </c>
      <c r="D247" s="29" t="s">
        <v>91</v>
      </c>
      <c r="E247" s="5" t="s">
        <v>10</v>
      </c>
      <c r="F247" s="6">
        <v>14720.16</v>
      </c>
      <c r="G247" s="6">
        <v>10573.32</v>
      </c>
      <c r="H247" t="str">
        <f>IFERROR(VLOOKUP(C247,Sheet4!B:C,2,0),"")</f>
        <v/>
      </c>
    </row>
    <row r="248" spans="1:8" x14ac:dyDescent="0.35">
      <c r="A248" s="4" t="s">
        <v>7</v>
      </c>
      <c r="B248" s="4" t="s">
        <v>8</v>
      </c>
      <c r="C248" s="28" t="s">
        <v>284</v>
      </c>
      <c r="D248" s="29" t="s">
        <v>91</v>
      </c>
      <c r="E248" s="5" t="s">
        <v>11</v>
      </c>
      <c r="F248" s="6"/>
      <c r="G248" s="6"/>
      <c r="H248" t="str">
        <f>IFERROR(VLOOKUP(C248,Sheet4!B:C,2,0),"")</f>
        <v/>
      </c>
    </row>
    <row r="249" spans="1:8" x14ac:dyDescent="0.35">
      <c r="A249" s="4" t="s">
        <v>7</v>
      </c>
      <c r="B249" s="4" t="s">
        <v>8</v>
      </c>
      <c r="C249" s="28" t="s">
        <v>284</v>
      </c>
      <c r="D249" s="29" t="s">
        <v>91</v>
      </c>
      <c r="E249" s="5" t="s">
        <v>12</v>
      </c>
      <c r="F249" s="6"/>
      <c r="G249" s="6"/>
      <c r="H249" t="str">
        <f>IFERROR(VLOOKUP(C249,Sheet4!B:C,2,0),"")</f>
        <v/>
      </c>
    </row>
    <row r="250" spans="1:8" x14ac:dyDescent="0.35">
      <c r="A250" s="4" t="s">
        <v>7</v>
      </c>
      <c r="B250" s="4" t="s">
        <v>8</v>
      </c>
      <c r="C250" s="28" t="s">
        <v>285</v>
      </c>
      <c r="D250" s="29" t="s">
        <v>92</v>
      </c>
      <c r="E250" s="5" t="s">
        <v>12</v>
      </c>
      <c r="F250" s="6">
        <v>55253.33</v>
      </c>
      <c r="G250" s="6">
        <v>22483.33</v>
      </c>
      <c r="H250" t="str">
        <f>IFERROR(VLOOKUP(C250,Sheet4!B:C,2,0),"")</f>
        <v/>
      </c>
    </row>
    <row r="251" spans="1:8" x14ac:dyDescent="0.35">
      <c r="A251" s="4" t="s">
        <v>7</v>
      </c>
      <c r="B251" s="4" t="s">
        <v>8</v>
      </c>
      <c r="C251" s="28" t="s">
        <v>286</v>
      </c>
      <c r="D251" s="29" t="s">
        <v>93</v>
      </c>
      <c r="E251" s="5" t="s">
        <v>10</v>
      </c>
      <c r="F251" s="6">
        <v>148.6</v>
      </c>
      <c r="G251" s="6">
        <v>132.91999999999999</v>
      </c>
      <c r="H251" t="str">
        <f>IFERROR(VLOOKUP(C251,Sheet4!B:C,2,0),"")</f>
        <v/>
      </c>
    </row>
    <row r="252" spans="1:8" x14ac:dyDescent="0.35">
      <c r="A252" s="4" t="s">
        <v>7</v>
      </c>
      <c r="B252" s="4" t="s">
        <v>8</v>
      </c>
      <c r="C252" s="28" t="s">
        <v>286</v>
      </c>
      <c r="D252" s="29" t="s">
        <v>93</v>
      </c>
      <c r="E252" s="5" t="s">
        <v>11</v>
      </c>
      <c r="F252" s="6">
        <v>5561.9</v>
      </c>
      <c r="G252" s="6">
        <v>2743.55</v>
      </c>
      <c r="H252" t="str">
        <f>IFERROR(VLOOKUP(C252,Sheet4!B:C,2,0),"")</f>
        <v/>
      </c>
    </row>
    <row r="253" spans="1:8" x14ac:dyDescent="0.35">
      <c r="A253" s="4" t="s">
        <v>7</v>
      </c>
      <c r="B253" s="4" t="s">
        <v>8</v>
      </c>
      <c r="C253" s="28" t="s">
        <v>286</v>
      </c>
      <c r="D253" s="29" t="s">
        <v>93</v>
      </c>
      <c r="E253" s="5" t="s">
        <v>30</v>
      </c>
      <c r="F253" s="6"/>
      <c r="G253" s="6"/>
      <c r="H253" t="str">
        <f>IFERROR(VLOOKUP(C253,Sheet4!B:C,2,0),"")</f>
        <v/>
      </c>
    </row>
    <row r="254" spans="1:8" x14ac:dyDescent="0.35">
      <c r="A254" s="4" t="s">
        <v>7</v>
      </c>
      <c r="B254" s="4" t="s">
        <v>8</v>
      </c>
      <c r="C254" s="28" t="s">
        <v>286</v>
      </c>
      <c r="D254" s="29" t="s">
        <v>93</v>
      </c>
      <c r="E254" s="5" t="s">
        <v>12</v>
      </c>
      <c r="F254" s="6"/>
      <c r="G254" s="6"/>
      <c r="H254" t="str">
        <f>IFERROR(VLOOKUP(C254,Sheet4!B:C,2,0),"")</f>
        <v/>
      </c>
    </row>
    <row r="255" spans="1:8" x14ac:dyDescent="0.35">
      <c r="A255" s="4" t="s">
        <v>7</v>
      </c>
      <c r="B255" s="4" t="s">
        <v>8</v>
      </c>
      <c r="C255" s="28" t="s">
        <v>287</v>
      </c>
      <c r="D255" s="29" t="s">
        <v>94</v>
      </c>
      <c r="E255" s="5" t="s">
        <v>10</v>
      </c>
      <c r="F255" s="6">
        <v>14992.17</v>
      </c>
      <c r="G255" s="6">
        <v>31366.5</v>
      </c>
      <c r="H255" t="str">
        <f>IFERROR(VLOOKUP(C255,Sheet4!B:C,2,0),"")</f>
        <v/>
      </c>
    </row>
    <row r="256" spans="1:8" x14ac:dyDescent="0.35">
      <c r="A256" s="4" t="s">
        <v>7</v>
      </c>
      <c r="B256" s="4" t="s">
        <v>8</v>
      </c>
      <c r="C256" s="28" t="s">
        <v>287</v>
      </c>
      <c r="D256" s="29" t="s">
        <v>94</v>
      </c>
      <c r="E256" s="5" t="s">
        <v>11</v>
      </c>
      <c r="F256" s="6">
        <v>568.82000000000005</v>
      </c>
      <c r="G256" s="6">
        <v>1492.04</v>
      </c>
      <c r="H256" t="str">
        <f>IFERROR(VLOOKUP(C256,Sheet4!B:C,2,0),"")</f>
        <v/>
      </c>
    </row>
    <row r="257" spans="1:8" x14ac:dyDescent="0.35">
      <c r="A257" s="4" t="s">
        <v>7</v>
      </c>
      <c r="B257" s="4" t="s">
        <v>8</v>
      </c>
      <c r="C257" s="28" t="s">
        <v>287</v>
      </c>
      <c r="D257" s="29" t="s">
        <v>94</v>
      </c>
      <c r="E257" s="5" t="s">
        <v>12</v>
      </c>
      <c r="F257" s="6"/>
      <c r="G257" s="6">
        <v>0</v>
      </c>
      <c r="H257" t="str">
        <f>IFERROR(VLOOKUP(C257,Sheet4!B:C,2,0),"")</f>
        <v/>
      </c>
    </row>
    <row r="258" spans="1:8" x14ac:dyDescent="0.35">
      <c r="A258" s="4" t="s">
        <v>7</v>
      </c>
      <c r="B258" s="4" t="s">
        <v>8</v>
      </c>
      <c r="C258" s="28" t="s">
        <v>288</v>
      </c>
      <c r="D258" s="29" t="s">
        <v>95</v>
      </c>
      <c r="E258" s="5" t="s">
        <v>29</v>
      </c>
      <c r="F258" s="6"/>
      <c r="G258" s="6"/>
      <c r="H258" t="str">
        <f>IFERROR(VLOOKUP(C258,Sheet4!B:C,2,0),"")</f>
        <v/>
      </c>
    </row>
    <row r="259" spans="1:8" x14ac:dyDescent="0.35">
      <c r="A259" s="4" t="s">
        <v>7</v>
      </c>
      <c r="B259" s="4" t="s">
        <v>8</v>
      </c>
      <c r="C259" s="28" t="s">
        <v>288</v>
      </c>
      <c r="D259" s="29" t="s">
        <v>95</v>
      </c>
      <c r="E259" s="5" t="s">
        <v>10</v>
      </c>
      <c r="F259" s="6">
        <v>23680.53</v>
      </c>
      <c r="G259" s="6">
        <v>13469.98</v>
      </c>
      <c r="H259" t="str">
        <f>IFERROR(VLOOKUP(C259,Sheet4!B:C,2,0),"")</f>
        <v/>
      </c>
    </row>
    <row r="260" spans="1:8" x14ac:dyDescent="0.35">
      <c r="A260" s="4" t="s">
        <v>7</v>
      </c>
      <c r="B260" s="4" t="s">
        <v>8</v>
      </c>
      <c r="C260" s="28" t="s">
        <v>288</v>
      </c>
      <c r="D260" s="29" t="s">
        <v>95</v>
      </c>
      <c r="E260" s="5" t="s">
        <v>11</v>
      </c>
      <c r="F260" s="6">
        <v>1310.4100000000001</v>
      </c>
      <c r="G260" s="6">
        <v>952.13</v>
      </c>
      <c r="H260" t="str">
        <f>IFERROR(VLOOKUP(C260,Sheet4!B:C,2,0),"")</f>
        <v/>
      </c>
    </row>
    <row r="261" spans="1:8" x14ac:dyDescent="0.35">
      <c r="A261" s="4" t="s">
        <v>7</v>
      </c>
      <c r="B261" s="4" t="s">
        <v>8</v>
      </c>
      <c r="C261" s="28" t="s">
        <v>288</v>
      </c>
      <c r="D261" s="29" t="s">
        <v>95</v>
      </c>
      <c r="E261" s="5" t="s">
        <v>12</v>
      </c>
      <c r="F261" s="6"/>
      <c r="G261" s="6"/>
      <c r="H261" t="str">
        <f>IFERROR(VLOOKUP(C261,Sheet4!B:C,2,0),"")</f>
        <v/>
      </c>
    </row>
    <row r="262" spans="1:8" x14ac:dyDescent="0.35">
      <c r="A262" s="4" t="s">
        <v>7</v>
      </c>
      <c r="B262" s="4" t="s">
        <v>8</v>
      </c>
      <c r="C262" s="28" t="s">
        <v>289</v>
      </c>
      <c r="D262" s="29" t="s">
        <v>96</v>
      </c>
      <c r="E262" s="5" t="s">
        <v>10</v>
      </c>
      <c r="F262" s="6">
        <v>10145.44</v>
      </c>
      <c r="G262" s="6">
        <v>12915.43</v>
      </c>
      <c r="H262" t="str">
        <f>IFERROR(VLOOKUP(C262,Sheet4!B:C,2,0),"")</f>
        <v/>
      </c>
    </row>
    <row r="263" spans="1:8" x14ac:dyDescent="0.35">
      <c r="A263" s="4" t="s">
        <v>7</v>
      </c>
      <c r="B263" s="4" t="s">
        <v>8</v>
      </c>
      <c r="C263" s="28" t="s">
        <v>289</v>
      </c>
      <c r="D263" s="29" t="s">
        <v>96</v>
      </c>
      <c r="E263" s="5" t="s">
        <v>11</v>
      </c>
      <c r="F263" s="6">
        <v>3769.97</v>
      </c>
      <c r="G263" s="6">
        <v>4891.1499999999996</v>
      </c>
      <c r="H263" t="str">
        <f>IFERROR(VLOOKUP(C263,Sheet4!B:C,2,0),"")</f>
        <v/>
      </c>
    </row>
    <row r="264" spans="1:8" x14ac:dyDescent="0.35">
      <c r="A264" s="4" t="s">
        <v>7</v>
      </c>
      <c r="B264" s="4" t="s">
        <v>8</v>
      </c>
      <c r="C264" s="28" t="s">
        <v>289</v>
      </c>
      <c r="D264" s="29" t="s">
        <v>96</v>
      </c>
      <c r="E264" s="5" t="s">
        <v>30</v>
      </c>
      <c r="F264" s="6">
        <v>241.67</v>
      </c>
      <c r="G264" s="6"/>
      <c r="H264" t="str">
        <f>IFERROR(VLOOKUP(C264,Sheet4!B:C,2,0),"")</f>
        <v/>
      </c>
    </row>
    <row r="265" spans="1:8" x14ac:dyDescent="0.35">
      <c r="A265" s="4" t="s">
        <v>7</v>
      </c>
      <c r="B265" s="4" t="s">
        <v>8</v>
      </c>
      <c r="C265" s="28" t="s">
        <v>289</v>
      </c>
      <c r="D265" s="29" t="s">
        <v>96</v>
      </c>
      <c r="E265" s="5" t="s">
        <v>12</v>
      </c>
      <c r="F265" s="6">
        <v>570</v>
      </c>
      <c r="G265" s="6">
        <v>2853.34</v>
      </c>
      <c r="H265" t="str">
        <f>IFERROR(VLOOKUP(C265,Sheet4!B:C,2,0),"")</f>
        <v/>
      </c>
    </row>
    <row r="266" spans="1:8" x14ac:dyDescent="0.35">
      <c r="A266" s="4" t="s">
        <v>7</v>
      </c>
      <c r="B266" s="4" t="s">
        <v>8</v>
      </c>
      <c r="C266" s="28" t="s">
        <v>290</v>
      </c>
      <c r="D266" s="29" t="s">
        <v>97</v>
      </c>
      <c r="E266" s="5" t="s">
        <v>10</v>
      </c>
      <c r="F266" s="6">
        <v>0</v>
      </c>
      <c r="G266" s="6">
        <v>0</v>
      </c>
      <c r="H266" t="str">
        <f>IFERROR(VLOOKUP(C266,Sheet4!B:C,2,0),"")</f>
        <v/>
      </c>
    </row>
    <row r="267" spans="1:8" x14ac:dyDescent="0.35">
      <c r="A267" s="4" t="s">
        <v>7</v>
      </c>
      <c r="B267" s="4" t="s">
        <v>8</v>
      </c>
      <c r="C267" s="28" t="s">
        <v>291</v>
      </c>
      <c r="D267" s="29" t="s">
        <v>98</v>
      </c>
      <c r="E267" s="5" t="s">
        <v>10</v>
      </c>
      <c r="F267" s="6">
        <v>0</v>
      </c>
      <c r="G267" s="6">
        <v>0</v>
      </c>
      <c r="H267" t="str">
        <f>IFERROR(VLOOKUP(C267,Sheet4!B:C,2,0),"")</f>
        <v/>
      </c>
    </row>
    <row r="268" spans="1:8" x14ac:dyDescent="0.35">
      <c r="A268" s="4" t="s">
        <v>7</v>
      </c>
      <c r="B268" s="4" t="s">
        <v>8</v>
      </c>
      <c r="C268" s="28" t="s">
        <v>291</v>
      </c>
      <c r="D268" s="29" t="s">
        <v>98</v>
      </c>
      <c r="E268" s="5" t="s">
        <v>11</v>
      </c>
      <c r="F268" s="6">
        <v>1347.78</v>
      </c>
      <c r="G268" s="6">
        <v>1758.55</v>
      </c>
      <c r="H268" t="str">
        <f>IFERROR(VLOOKUP(C268,Sheet4!B:C,2,0),"")</f>
        <v/>
      </c>
    </row>
    <row r="269" spans="1:8" x14ac:dyDescent="0.35">
      <c r="A269" s="4" t="s">
        <v>7</v>
      </c>
      <c r="B269" s="4" t="s">
        <v>8</v>
      </c>
      <c r="C269" s="28" t="s">
        <v>292</v>
      </c>
      <c r="D269" s="29" t="s">
        <v>99</v>
      </c>
      <c r="E269" s="5" t="s">
        <v>10</v>
      </c>
      <c r="F269" s="6"/>
      <c r="G269" s="6">
        <v>0</v>
      </c>
      <c r="H269" t="str">
        <f>IFERROR(VLOOKUP(C269,Sheet4!B:C,2,0),"")</f>
        <v/>
      </c>
    </row>
    <row r="270" spans="1:8" x14ac:dyDescent="0.35">
      <c r="A270" s="4" t="s">
        <v>7</v>
      </c>
      <c r="B270" s="4" t="s">
        <v>8</v>
      </c>
      <c r="C270" s="28" t="s">
        <v>292</v>
      </c>
      <c r="D270" s="29" t="s">
        <v>99</v>
      </c>
      <c r="E270" s="5" t="s">
        <v>11</v>
      </c>
      <c r="F270" s="6">
        <v>0</v>
      </c>
      <c r="G270" s="6">
        <v>0</v>
      </c>
      <c r="H270" t="str">
        <f>IFERROR(VLOOKUP(C270,Sheet4!B:C,2,0),"")</f>
        <v/>
      </c>
    </row>
    <row r="271" spans="1:8" x14ac:dyDescent="0.35">
      <c r="A271" s="4" t="s">
        <v>7</v>
      </c>
      <c r="B271" s="4" t="s">
        <v>8</v>
      </c>
      <c r="C271" s="28" t="s">
        <v>293</v>
      </c>
      <c r="D271" s="29" t="s">
        <v>100</v>
      </c>
      <c r="E271" s="5" t="s">
        <v>11</v>
      </c>
      <c r="F271" s="6">
        <v>1080</v>
      </c>
      <c r="G271" s="6">
        <v>1050</v>
      </c>
      <c r="H271" t="str">
        <f>IFERROR(VLOOKUP(C271,Sheet4!B:C,2,0),"")</f>
        <v/>
      </c>
    </row>
    <row r="272" spans="1:8" x14ac:dyDescent="0.35">
      <c r="A272" s="4" t="s">
        <v>7</v>
      </c>
      <c r="B272" s="4" t="s">
        <v>8</v>
      </c>
      <c r="C272" s="28" t="s">
        <v>294</v>
      </c>
      <c r="D272" s="29" t="s">
        <v>101</v>
      </c>
      <c r="E272" s="5" t="s">
        <v>10</v>
      </c>
      <c r="F272" s="6">
        <v>124.05</v>
      </c>
      <c r="G272" s="6">
        <v>230.94</v>
      </c>
      <c r="H272" t="str">
        <f>IFERROR(VLOOKUP(C272,Sheet4!B:C,2,0),"")</f>
        <v/>
      </c>
    </row>
    <row r="273" spans="1:8" x14ac:dyDescent="0.35">
      <c r="A273" s="4" t="s">
        <v>7</v>
      </c>
      <c r="B273" s="4" t="s">
        <v>8</v>
      </c>
      <c r="C273" s="28" t="s">
        <v>294</v>
      </c>
      <c r="D273" s="29" t="s">
        <v>101</v>
      </c>
      <c r="E273" s="5" t="s">
        <v>11</v>
      </c>
      <c r="F273" s="6">
        <v>-5306.54</v>
      </c>
      <c r="G273" s="6"/>
      <c r="H273" t="str">
        <f>IFERROR(VLOOKUP(C273,Sheet4!B:C,2,0),"")</f>
        <v/>
      </c>
    </row>
    <row r="274" spans="1:8" x14ac:dyDescent="0.35">
      <c r="A274" s="4" t="s">
        <v>7</v>
      </c>
      <c r="B274" s="4" t="s">
        <v>8</v>
      </c>
      <c r="C274" s="28" t="s">
        <v>294</v>
      </c>
      <c r="D274" s="29" t="s">
        <v>101</v>
      </c>
      <c r="E274" s="5" t="s">
        <v>12</v>
      </c>
      <c r="F274" s="6"/>
      <c r="G274" s="6">
        <v>135.03</v>
      </c>
      <c r="H274" t="str">
        <f>IFERROR(VLOOKUP(C274,Sheet4!B:C,2,0),"")</f>
        <v/>
      </c>
    </row>
    <row r="275" spans="1:8" x14ac:dyDescent="0.35">
      <c r="A275" s="4" t="s">
        <v>7</v>
      </c>
      <c r="B275" s="4" t="s">
        <v>8</v>
      </c>
      <c r="C275" s="28" t="s">
        <v>295</v>
      </c>
      <c r="D275" s="29" t="s">
        <v>102</v>
      </c>
      <c r="E275" s="5" t="s">
        <v>10</v>
      </c>
      <c r="F275" s="6">
        <v>96.41</v>
      </c>
      <c r="G275" s="6">
        <v>427.07</v>
      </c>
      <c r="H275" t="str">
        <f>IFERROR(VLOOKUP(C275,Sheet4!B:C,2,0),"")</f>
        <v/>
      </c>
    </row>
    <row r="276" spans="1:8" x14ac:dyDescent="0.35">
      <c r="A276" s="4" t="s">
        <v>7</v>
      </c>
      <c r="B276" s="4" t="s">
        <v>8</v>
      </c>
      <c r="C276" s="28" t="s">
        <v>295</v>
      </c>
      <c r="D276" s="29" t="s">
        <v>102</v>
      </c>
      <c r="E276" s="5" t="s">
        <v>11</v>
      </c>
      <c r="F276" s="6">
        <v>3897.52</v>
      </c>
      <c r="G276" s="6">
        <v>4536.12</v>
      </c>
      <c r="H276" t="str">
        <f>IFERROR(VLOOKUP(C276,Sheet4!B:C,2,0),"")</f>
        <v/>
      </c>
    </row>
    <row r="277" spans="1:8" x14ac:dyDescent="0.35">
      <c r="A277" s="4" t="s">
        <v>7</v>
      </c>
      <c r="B277" s="4" t="s">
        <v>8</v>
      </c>
      <c r="C277" s="28" t="s">
        <v>295</v>
      </c>
      <c r="D277" s="29" t="s">
        <v>102</v>
      </c>
      <c r="E277" s="5" t="s">
        <v>12</v>
      </c>
      <c r="F277" s="6">
        <v>7906.96</v>
      </c>
      <c r="G277" s="6">
        <v>9922.8700000000008</v>
      </c>
      <c r="H277" t="str">
        <f>IFERROR(VLOOKUP(C277,Sheet4!B:C,2,0),"")</f>
        <v/>
      </c>
    </row>
    <row r="278" spans="1:8" x14ac:dyDescent="0.35">
      <c r="A278" s="4" t="s">
        <v>7</v>
      </c>
      <c r="B278" s="4" t="s">
        <v>8</v>
      </c>
      <c r="C278" s="28" t="s">
        <v>296</v>
      </c>
      <c r="D278" s="29" t="s">
        <v>103</v>
      </c>
      <c r="E278" s="5" t="s">
        <v>12</v>
      </c>
      <c r="F278" s="6">
        <v>-77.069999999999993</v>
      </c>
      <c r="G278" s="6">
        <v>-441.81</v>
      </c>
      <c r="H278" t="str">
        <f>IFERROR(VLOOKUP(C278,Sheet4!B:C,2,0),"")</f>
        <v/>
      </c>
    </row>
    <row r="279" spans="1:8" x14ac:dyDescent="0.35">
      <c r="A279" s="4" t="s">
        <v>7</v>
      </c>
      <c r="B279" s="4" t="s">
        <v>8</v>
      </c>
      <c r="C279" s="28" t="s">
        <v>297</v>
      </c>
      <c r="D279" s="29" t="s">
        <v>104</v>
      </c>
      <c r="E279" s="5" t="s">
        <v>29</v>
      </c>
      <c r="F279" s="6">
        <v>113.73</v>
      </c>
      <c r="G279" s="6">
        <v>41.32</v>
      </c>
      <c r="H279" t="str">
        <f>IFERROR(VLOOKUP(C279,Sheet4!B:C,2,0),"")</f>
        <v/>
      </c>
    </row>
    <row r="280" spans="1:8" x14ac:dyDescent="0.35">
      <c r="A280" s="4" t="s">
        <v>7</v>
      </c>
      <c r="B280" s="4" t="s">
        <v>8</v>
      </c>
      <c r="C280" s="28" t="s">
        <v>297</v>
      </c>
      <c r="D280" s="29" t="s">
        <v>104</v>
      </c>
      <c r="E280" s="5" t="s">
        <v>10</v>
      </c>
      <c r="F280" s="6">
        <v>-27345.08</v>
      </c>
      <c r="G280" s="6">
        <v>-95702.73</v>
      </c>
      <c r="H280" t="str">
        <f>IFERROR(VLOOKUP(C280,Sheet4!B:C,2,0),"")</f>
        <v/>
      </c>
    </row>
    <row r="281" spans="1:8" x14ac:dyDescent="0.35">
      <c r="A281" s="4" t="s">
        <v>7</v>
      </c>
      <c r="B281" s="4" t="s">
        <v>8</v>
      </c>
      <c r="C281" s="28" t="s">
        <v>297</v>
      </c>
      <c r="D281" s="29" t="s">
        <v>104</v>
      </c>
      <c r="E281" s="5" t="s">
        <v>11</v>
      </c>
      <c r="F281" s="6">
        <v>25495.53</v>
      </c>
      <c r="G281" s="6">
        <v>21276.22</v>
      </c>
      <c r="H281" t="str">
        <f>IFERROR(VLOOKUP(C281,Sheet4!B:C,2,0),"")</f>
        <v/>
      </c>
    </row>
    <row r="282" spans="1:8" x14ac:dyDescent="0.35">
      <c r="A282" s="4" t="s">
        <v>7</v>
      </c>
      <c r="B282" s="4" t="s">
        <v>8</v>
      </c>
      <c r="C282" s="28" t="s">
        <v>297</v>
      </c>
      <c r="D282" s="29" t="s">
        <v>104</v>
      </c>
      <c r="E282" s="5" t="s">
        <v>30</v>
      </c>
      <c r="F282" s="6"/>
      <c r="G282" s="6"/>
      <c r="H282" t="str">
        <f>IFERROR(VLOOKUP(C282,Sheet4!B:C,2,0),"")</f>
        <v/>
      </c>
    </row>
    <row r="283" spans="1:8" x14ac:dyDescent="0.35">
      <c r="A283" s="4" t="s">
        <v>7</v>
      </c>
      <c r="B283" s="4" t="s">
        <v>8</v>
      </c>
      <c r="C283" s="28" t="s">
        <v>297</v>
      </c>
      <c r="D283" s="29" t="s">
        <v>104</v>
      </c>
      <c r="E283" s="5" t="s">
        <v>12</v>
      </c>
      <c r="F283" s="6">
        <v>1471.63</v>
      </c>
      <c r="G283" s="6">
        <v>-60279.57</v>
      </c>
      <c r="H283" t="str">
        <f>IFERROR(VLOOKUP(C283,Sheet4!B:C,2,0),"")</f>
        <v/>
      </c>
    </row>
    <row r="284" spans="1:8" x14ac:dyDescent="0.35">
      <c r="A284" s="4" t="s">
        <v>7</v>
      </c>
      <c r="B284" s="4" t="s">
        <v>8</v>
      </c>
      <c r="C284" s="28" t="s">
        <v>298</v>
      </c>
      <c r="D284" s="29" t="s">
        <v>105</v>
      </c>
      <c r="E284" s="5" t="s">
        <v>10</v>
      </c>
      <c r="F284" s="6"/>
      <c r="G284" s="6"/>
      <c r="H284" t="str">
        <f>IFERROR(VLOOKUP(C284,Sheet4!B:C,2,0),"")</f>
        <v/>
      </c>
    </row>
    <row r="285" spans="1:8" x14ac:dyDescent="0.35">
      <c r="A285" s="4" t="s">
        <v>7</v>
      </c>
      <c r="B285" s="4" t="s">
        <v>8</v>
      </c>
      <c r="C285" s="28" t="s">
        <v>299</v>
      </c>
      <c r="D285" s="29" t="s">
        <v>106</v>
      </c>
      <c r="E285" s="5" t="s">
        <v>12</v>
      </c>
      <c r="F285" s="6">
        <v>1517.17</v>
      </c>
      <c r="G285" s="6">
        <v>1565.95</v>
      </c>
      <c r="H285" t="str">
        <f>IFERROR(VLOOKUP(C285,Sheet4!B:C,2,0),"")</f>
        <v/>
      </c>
    </row>
    <row r="286" spans="1:8" x14ac:dyDescent="0.35">
      <c r="A286" s="4" t="s">
        <v>7</v>
      </c>
      <c r="B286" s="4" t="s">
        <v>8</v>
      </c>
      <c r="C286" s="28" t="s">
        <v>300</v>
      </c>
      <c r="D286" s="29" t="s">
        <v>107</v>
      </c>
      <c r="E286" s="5" t="s">
        <v>10</v>
      </c>
      <c r="F286" s="6">
        <v>39757.26</v>
      </c>
      <c r="G286" s="6">
        <v>37123.06</v>
      </c>
      <c r="H286" t="str">
        <f>IFERROR(VLOOKUP(C286,Sheet4!B:C,2,0),"")</f>
        <v/>
      </c>
    </row>
    <row r="287" spans="1:8" x14ac:dyDescent="0.35">
      <c r="A287" s="4" t="s">
        <v>7</v>
      </c>
      <c r="B287" s="4" t="s">
        <v>8</v>
      </c>
      <c r="C287" s="28" t="s">
        <v>300</v>
      </c>
      <c r="D287" s="29" t="s">
        <v>107</v>
      </c>
      <c r="E287" s="5" t="s">
        <v>11</v>
      </c>
      <c r="F287" s="6">
        <v>1756.92</v>
      </c>
      <c r="G287" s="6">
        <v>1991.93</v>
      </c>
      <c r="H287" t="str">
        <f>IFERROR(VLOOKUP(C287,Sheet4!B:C,2,0),"")</f>
        <v/>
      </c>
    </row>
    <row r="288" spans="1:8" x14ac:dyDescent="0.35">
      <c r="A288" s="4" t="s">
        <v>7</v>
      </c>
      <c r="B288" s="4" t="s">
        <v>8</v>
      </c>
      <c r="C288" s="28" t="s">
        <v>301</v>
      </c>
      <c r="D288" s="29" t="s">
        <v>108</v>
      </c>
      <c r="E288" s="5" t="s">
        <v>10</v>
      </c>
      <c r="F288" s="6">
        <v>8607.7999999999993</v>
      </c>
      <c r="G288" s="6">
        <v>8174.94</v>
      </c>
      <c r="H288" t="str">
        <f>IFERROR(VLOOKUP(C288,Sheet4!B:C,2,0),"")</f>
        <v/>
      </c>
    </row>
    <row r="289" spans="1:8" x14ac:dyDescent="0.35">
      <c r="A289" s="4" t="s">
        <v>7</v>
      </c>
      <c r="B289" s="4" t="s">
        <v>8</v>
      </c>
      <c r="C289" s="28" t="s">
        <v>301</v>
      </c>
      <c r="D289" s="29" t="s">
        <v>108</v>
      </c>
      <c r="E289" s="5" t="s">
        <v>11</v>
      </c>
      <c r="F289" s="6">
        <v>50.79</v>
      </c>
      <c r="G289" s="6">
        <v>50.79</v>
      </c>
      <c r="H289" t="str">
        <f>IFERROR(VLOOKUP(C289,Sheet4!B:C,2,0),"")</f>
        <v/>
      </c>
    </row>
    <row r="290" spans="1:8" x14ac:dyDescent="0.35">
      <c r="A290" s="4" t="s">
        <v>7</v>
      </c>
      <c r="B290" s="4" t="s">
        <v>8</v>
      </c>
      <c r="C290" s="28" t="s">
        <v>302</v>
      </c>
      <c r="D290" s="29" t="s">
        <v>109</v>
      </c>
      <c r="E290" s="5" t="s">
        <v>10</v>
      </c>
      <c r="F290" s="6"/>
      <c r="G290" s="6">
        <v>176.96</v>
      </c>
      <c r="H290" t="str">
        <f>IFERROR(VLOOKUP(C290,Sheet4!B:C,2,0),"")</f>
        <v/>
      </c>
    </row>
    <row r="291" spans="1:8" x14ac:dyDescent="0.35">
      <c r="A291" s="4" t="s">
        <v>7</v>
      </c>
      <c r="B291" s="4" t="s">
        <v>8</v>
      </c>
      <c r="C291" s="28" t="s">
        <v>302</v>
      </c>
      <c r="D291" s="29" t="s">
        <v>109</v>
      </c>
      <c r="E291" s="5" t="s">
        <v>12</v>
      </c>
      <c r="F291" s="6">
        <v>7336.69</v>
      </c>
      <c r="G291" s="6">
        <v>15233.7</v>
      </c>
      <c r="H291" t="str">
        <f>IFERROR(VLOOKUP(C291,Sheet4!B:C,2,0),"")</f>
        <v/>
      </c>
    </row>
    <row r="292" spans="1:8" x14ac:dyDescent="0.35">
      <c r="A292" s="4" t="s">
        <v>7</v>
      </c>
      <c r="B292" s="4" t="s">
        <v>8</v>
      </c>
      <c r="C292" s="28" t="s">
        <v>303</v>
      </c>
      <c r="D292" s="29" t="s">
        <v>110</v>
      </c>
      <c r="E292" s="5" t="s">
        <v>29</v>
      </c>
      <c r="F292" s="6">
        <v>95.76</v>
      </c>
      <c r="G292" s="6">
        <v>95.76</v>
      </c>
      <c r="H292" t="str">
        <f>IFERROR(VLOOKUP(C292,Sheet4!B:C,2,0),"")</f>
        <v/>
      </c>
    </row>
    <row r="293" spans="1:8" x14ac:dyDescent="0.35">
      <c r="A293" s="4" t="s">
        <v>7</v>
      </c>
      <c r="B293" s="4" t="s">
        <v>8</v>
      </c>
      <c r="C293" s="28" t="s">
        <v>303</v>
      </c>
      <c r="D293" s="29" t="s">
        <v>110</v>
      </c>
      <c r="E293" s="5" t="s">
        <v>10</v>
      </c>
      <c r="F293" s="6">
        <v>5809.54</v>
      </c>
      <c r="G293" s="6">
        <v>6289.6</v>
      </c>
      <c r="H293" t="str">
        <f>IFERROR(VLOOKUP(C293,Sheet4!B:C,2,0),"")</f>
        <v/>
      </c>
    </row>
    <row r="294" spans="1:8" x14ac:dyDescent="0.35">
      <c r="A294" s="4" t="s">
        <v>7</v>
      </c>
      <c r="B294" s="4" t="s">
        <v>8</v>
      </c>
      <c r="C294" s="28" t="s">
        <v>303</v>
      </c>
      <c r="D294" s="29" t="s">
        <v>110</v>
      </c>
      <c r="E294" s="5" t="s">
        <v>11</v>
      </c>
      <c r="F294" s="6">
        <v>539.83000000000004</v>
      </c>
      <c r="G294" s="6">
        <v>539.83000000000004</v>
      </c>
      <c r="H294" t="str">
        <f>IFERROR(VLOOKUP(C294,Sheet4!B:C,2,0),"")</f>
        <v/>
      </c>
    </row>
    <row r="295" spans="1:8" x14ac:dyDescent="0.35">
      <c r="A295" s="4" t="s">
        <v>7</v>
      </c>
      <c r="B295" s="4" t="s">
        <v>8</v>
      </c>
      <c r="C295" s="28" t="s">
        <v>303</v>
      </c>
      <c r="D295" s="29" t="s">
        <v>110</v>
      </c>
      <c r="E295" s="5" t="s">
        <v>12</v>
      </c>
      <c r="F295" s="6">
        <v>7267.11</v>
      </c>
      <c r="G295" s="6">
        <v>7267.11</v>
      </c>
      <c r="H295" t="str">
        <f>IFERROR(VLOOKUP(C295,Sheet4!B:C,2,0),"")</f>
        <v/>
      </c>
    </row>
    <row r="296" spans="1:8" x14ac:dyDescent="0.35">
      <c r="A296" s="4" t="s">
        <v>7</v>
      </c>
      <c r="B296" s="4" t="s">
        <v>8</v>
      </c>
      <c r="C296" s="28" t="s">
        <v>304</v>
      </c>
      <c r="D296" s="29" t="s">
        <v>111</v>
      </c>
      <c r="E296" s="5" t="s">
        <v>10</v>
      </c>
      <c r="F296" s="6">
        <v>690.75</v>
      </c>
      <c r="G296" s="6">
        <v>726.22</v>
      </c>
      <c r="H296" t="str">
        <f>IFERROR(VLOOKUP(C296,Sheet4!B:C,2,0),"")</f>
        <v/>
      </c>
    </row>
    <row r="297" spans="1:8" x14ac:dyDescent="0.35">
      <c r="A297" s="4" t="s">
        <v>7</v>
      </c>
      <c r="B297" s="4" t="s">
        <v>8</v>
      </c>
      <c r="C297" s="28" t="s">
        <v>304</v>
      </c>
      <c r="D297" s="29" t="s">
        <v>111</v>
      </c>
      <c r="E297" s="5" t="s">
        <v>11</v>
      </c>
      <c r="F297" s="6">
        <v>1172.46</v>
      </c>
      <c r="G297" s="6">
        <v>1172.46</v>
      </c>
      <c r="H297" t="str">
        <f>IFERROR(VLOOKUP(C297,Sheet4!B:C,2,0),"")</f>
        <v/>
      </c>
    </row>
    <row r="298" spans="1:8" x14ac:dyDescent="0.35">
      <c r="A298" s="4" t="s">
        <v>7</v>
      </c>
      <c r="B298" s="4" t="s">
        <v>8</v>
      </c>
      <c r="C298" s="28" t="s">
        <v>305</v>
      </c>
      <c r="D298" s="29" t="s">
        <v>112</v>
      </c>
      <c r="E298" s="5" t="s">
        <v>29</v>
      </c>
      <c r="F298" s="6">
        <v>106318.06</v>
      </c>
      <c r="G298" s="6">
        <v>97188.65</v>
      </c>
      <c r="H298" t="str">
        <f>IFERROR(VLOOKUP(C298,Sheet4!B:C,2,0),"")</f>
        <v/>
      </c>
    </row>
    <row r="299" spans="1:8" x14ac:dyDescent="0.35">
      <c r="A299" s="4" t="s">
        <v>7</v>
      </c>
      <c r="B299" s="4" t="s">
        <v>8</v>
      </c>
      <c r="C299" s="28" t="s">
        <v>305</v>
      </c>
      <c r="D299" s="29" t="s">
        <v>112</v>
      </c>
      <c r="E299" s="5" t="s">
        <v>10</v>
      </c>
      <c r="F299" s="6">
        <v>3524643.14</v>
      </c>
      <c r="G299" s="6">
        <v>3424988.61</v>
      </c>
      <c r="H299" t="str">
        <f>IFERROR(VLOOKUP(C299,Sheet4!B:C,2,0),"")</f>
        <v/>
      </c>
    </row>
    <row r="300" spans="1:8" x14ac:dyDescent="0.35">
      <c r="A300" s="4" t="s">
        <v>7</v>
      </c>
      <c r="B300" s="4" t="s">
        <v>8</v>
      </c>
      <c r="C300" s="28" t="s">
        <v>305</v>
      </c>
      <c r="D300" s="29" t="s">
        <v>112</v>
      </c>
      <c r="E300" s="5" t="s">
        <v>11</v>
      </c>
      <c r="F300" s="6">
        <v>3264889.3</v>
      </c>
      <c r="G300" s="6">
        <v>2962706.03</v>
      </c>
      <c r="H300" t="str">
        <f>IFERROR(VLOOKUP(C300,Sheet4!B:C,2,0),"")</f>
        <v/>
      </c>
    </row>
    <row r="301" spans="1:8" x14ac:dyDescent="0.35">
      <c r="A301" s="4" t="s">
        <v>7</v>
      </c>
      <c r="B301" s="4" t="s">
        <v>8</v>
      </c>
      <c r="C301" s="28" t="s">
        <v>305</v>
      </c>
      <c r="D301" s="29" t="s">
        <v>112</v>
      </c>
      <c r="E301" s="5" t="s">
        <v>12</v>
      </c>
      <c r="F301" s="6">
        <v>319436.12</v>
      </c>
      <c r="G301" s="6">
        <v>319711.24</v>
      </c>
      <c r="H301" t="str">
        <f>IFERROR(VLOOKUP(C301,Sheet4!B:C,2,0),"")</f>
        <v/>
      </c>
    </row>
    <row r="302" spans="1:8" x14ac:dyDescent="0.35">
      <c r="A302" s="4" t="s">
        <v>7</v>
      </c>
      <c r="B302" s="4" t="s">
        <v>8</v>
      </c>
      <c r="C302" s="28" t="s">
        <v>306</v>
      </c>
      <c r="D302" s="29" t="s">
        <v>113</v>
      </c>
      <c r="E302" s="5" t="s">
        <v>29</v>
      </c>
      <c r="F302" s="6">
        <v>76.97</v>
      </c>
      <c r="G302" s="6">
        <v>44.41</v>
      </c>
      <c r="H302" t="str">
        <f>IFERROR(VLOOKUP(C302,Sheet4!B:C,2,0),"")</f>
        <v/>
      </c>
    </row>
    <row r="303" spans="1:8" x14ac:dyDescent="0.35">
      <c r="A303" s="4" t="s">
        <v>7</v>
      </c>
      <c r="B303" s="4" t="s">
        <v>8</v>
      </c>
      <c r="C303" s="28" t="s">
        <v>306</v>
      </c>
      <c r="D303" s="29" t="s">
        <v>113</v>
      </c>
      <c r="E303" s="5" t="s">
        <v>10</v>
      </c>
      <c r="F303" s="6">
        <v>448625.82</v>
      </c>
      <c r="G303" s="6">
        <v>387746.91</v>
      </c>
      <c r="H303" t="str">
        <f>IFERROR(VLOOKUP(C303,Sheet4!B:C,2,0),"")</f>
        <v/>
      </c>
    </row>
    <row r="304" spans="1:8" x14ac:dyDescent="0.35">
      <c r="A304" s="4" t="s">
        <v>7</v>
      </c>
      <c r="B304" s="4" t="s">
        <v>8</v>
      </c>
      <c r="C304" s="28" t="s">
        <v>306</v>
      </c>
      <c r="D304" s="29" t="s">
        <v>113</v>
      </c>
      <c r="E304" s="5" t="s">
        <v>11</v>
      </c>
      <c r="F304" s="6">
        <v>9173.36</v>
      </c>
      <c r="G304" s="6">
        <v>8213.83</v>
      </c>
      <c r="H304" t="str">
        <f>IFERROR(VLOOKUP(C304,Sheet4!B:C,2,0),"")</f>
        <v/>
      </c>
    </row>
    <row r="305" spans="1:8" x14ac:dyDescent="0.35">
      <c r="A305" s="4" t="s">
        <v>7</v>
      </c>
      <c r="B305" s="4" t="s">
        <v>8</v>
      </c>
      <c r="C305" s="28" t="s">
        <v>306</v>
      </c>
      <c r="D305" s="29" t="s">
        <v>113</v>
      </c>
      <c r="E305" s="5" t="s">
        <v>12</v>
      </c>
      <c r="F305" s="6">
        <v>1024.8900000000001</v>
      </c>
      <c r="G305" s="6">
        <v>1611.57</v>
      </c>
      <c r="H305" t="str">
        <f>IFERROR(VLOOKUP(C305,Sheet4!B:C,2,0),"")</f>
        <v/>
      </c>
    </row>
    <row r="306" spans="1:8" x14ac:dyDescent="0.35">
      <c r="A306" s="4" t="s">
        <v>7</v>
      </c>
      <c r="B306" s="4" t="s">
        <v>8</v>
      </c>
      <c r="C306" s="28" t="s">
        <v>307</v>
      </c>
      <c r="D306" s="29" t="s">
        <v>114</v>
      </c>
      <c r="E306" s="5" t="s">
        <v>29</v>
      </c>
      <c r="F306" s="6">
        <v>325.98</v>
      </c>
      <c r="G306" s="6">
        <v>325.98</v>
      </c>
      <c r="H306" t="str">
        <f>IFERROR(VLOOKUP(C306,Sheet4!B:C,2,0),"")</f>
        <v/>
      </c>
    </row>
    <row r="307" spans="1:8" x14ac:dyDescent="0.35">
      <c r="A307" s="4" t="s">
        <v>7</v>
      </c>
      <c r="B307" s="4" t="s">
        <v>8</v>
      </c>
      <c r="C307" s="28" t="s">
        <v>307</v>
      </c>
      <c r="D307" s="29" t="s">
        <v>114</v>
      </c>
      <c r="E307" s="5" t="s">
        <v>10</v>
      </c>
      <c r="F307" s="6">
        <v>2866.97</v>
      </c>
      <c r="G307" s="6">
        <v>31140</v>
      </c>
      <c r="H307" t="str">
        <f>IFERROR(VLOOKUP(C307,Sheet4!B:C,2,0),"")</f>
        <v/>
      </c>
    </row>
    <row r="308" spans="1:8" x14ac:dyDescent="0.35">
      <c r="A308" s="4" t="s">
        <v>7</v>
      </c>
      <c r="B308" s="4" t="s">
        <v>8</v>
      </c>
      <c r="C308" s="28" t="s">
        <v>307</v>
      </c>
      <c r="D308" s="29" t="s">
        <v>114</v>
      </c>
      <c r="E308" s="5" t="s">
        <v>11</v>
      </c>
      <c r="F308" s="6">
        <v>3527.54</v>
      </c>
      <c r="G308" s="6">
        <v>4847.88</v>
      </c>
      <c r="H308" t="str">
        <f>IFERROR(VLOOKUP(C308,Sheet4!B:C,2,0),"")</f>
        <v/>
      </c>
    </row>
    <row r="309" spans="1:8" x14ac:dyDescent="0.35">
      <c r="A309" s="4" t="s">
        <v>7</v>
      </c>
      <c r="B309" s="4" t="s">
        <v>8</v>
      </c>
      <c r="C309" s="28" t="s">
        <v>307</v>
      </c>
      <c r="D309" s="29" t="s">
        <v>114</v>
      </c>
      <c r="E309" s="5" t="s">
        <v>12</v>
      </c>
      <c r="F309" s="6">
        <v>725</v>
      </c>
      <c r="G309" s="6">
        <v>725</v>
      </c>
      <c r="H309" t="str">
        <f>IFERROR(VLOOKUP(C309,Sheet4!B:C,2,0),"")</f>
        <v/>
      </c>
    </row>
    <row r="310" spans="1:8" x14ac:dyDescent="0.35">
      <c r="A310" s="4" t="s">
        <v>7</v>
      </c>
      <c r="B310" s="4" t="s">
        <v>8</v>
      </c>
      <c r="C310" s="28" t="s">
        <v>308</v>
      </c>
      <c r="D310" s="29" t="s">
        <v>115</v>
      </c>
      <c r="E310" s="5" t="s">
        <v>11</v>
      </c>
      <c r="F310" s="6"/>
      <c r="G310" s="6"/>
      <c r="H310" t="str">
        <f>IFERROR(VLOOKUP(C310,Sheet4!B:C,2,0),"")</f>
        <v/>
      </c>
    </row>
    <row r="311" spans="1:8" x14ac:dyDescent="0.35">
      <c r="A311" s="4" t="s">
        <v>7</v>
      </c>
      <c r="B311" s="4" t="s">
        <v>8</v>
      </c>
      <c r="C311" s="28" t="s">
        <v>309</v>
      </c>
      <c r="D311" s="29" t="s">
        <v>116</v>
      </c>
      <c r="E311" s="5" t="s">
        <v>29</v>
      </c>
      <c r="F311" s="6">
        <v>7826.23</v>
      </c>
      <c r="G311" s="6">
        <v>7052.67</v>
      </c>
      <c r="H311" t="str">
        <f>IFERROR(VLOOKUP(C311,Sheet4!B:C,2,0),"")</f>
        <v/>
      </c>
    </row>
    <row r="312" spans="1:8" x14ac:dyDescent="0.35">
      <c r="A312" s="4" t="s">
        <v>7</v>
      </c>
      <c r="B312" s="4" t="s">
        <v>8</v>
      </c>
      <c r="C312" s="28" t="s">
        <v>309</v>
      </c>
      <c r="D312" s="29" t="s">
        <v>116</v>
      </c>
      <c r="E312" s="5" t="s">
        <v>10</v>
      </c>
      <c r="F312" s="6">
        <v>313538.87</v>
      </c>
      <c r="G312" s="6">
        <v>298948.03000000003</v>
      </c>
      <c r="H312" t="str">
        <f>IFERROR(VLOOKUP(C312,Sheet4!B:C,2,0),"")</f>
        <v/>
      </c>
    </row>
    <row r="313" spans="1:8" x14ac:dyDescent="0.35">
      <c r="A313" s="4" t="s">
        <v>7</v>
      </c>
      <c r="B313" s="4" t="s">
        <v>8</v>
      </c>
      <c r="C313" s="28" t="s">
        <v>309</v>
      </c>
      <c r="D313" s="29" t="s">
        <v>116</v>
      </c>
      <c r="E313" s="5" t="s">
        <v>11</v>
      </c>
      <c r="F313" s="6">
        <v>282656.38</v>
      </c>
      <c r="G313" s="6">
        <v>271108.21000000002</v>
      </c>
      <c r="H313" t="str">
        <f>IFERROR(VLOOKUP(C313,Sheet4!B:C,2,0),"")</f>
        <v/>
      </c>
    </row>
    <row r="314" spans="1:8" x14ac:dyDescent="0.35">
      <c r="A314" s="4" t="s">
        <v>7</v>
      </c>
      <c r="B314" s="4" t="s">
        <v>8</v>
      </c>
      <c r="C314" s="28" t="s">
        <v>309</v>
      </c>
      <c r="D314" s="29" t="s">
        <v>116</v>
      </c>
      <c r="E314" s="5" t="s">
        <v>12</v>
      </c>
      <c r="F314" s="6">
        <v>21750.21</v>
      </c>
      <c r="G314" s="6">
        <v>21999.93</v>
      </c>
      <c r="H314" t="str">
        <f>IFERROR(VLOOKUP(C314,Sheet4!B:C,2,0),"")</f>
        <v/>
      </c>
    </row>
    <row r="315" spans="1:8" x14ac:dyDescent="0.35">
      <c r="A315" s="4" t="s">
        <v>7</v>
      </c>
      <c r="B315" s="4" t="s">
        <v>8</v>
      </c>
      <c r="C315" s="28" t="s">
        <v>310</v>
      </c>
      <c r="D315" s="29" t="s">
        <v>117</v>
      </c>
      <c r="E315" s="5" t="s">
        <v>29</v>
      </c>
      <c r="F315" s="6">
        <v>3772.32</v>
      </c>
      <c r="G315" s="6">
        <v>3564.12</v>
      </c>
      <c r="H315" t="str">
        <f>IFERROR(VLOOKUP(C315,Sheet4!B:C,2,0),"")</f>
        <v/>
      </c>
    </row>
    <row r="316" spans="1:8" x14ac:dyDescent="0.35">
      <c r="A316" s="4" t="s">
        <v>7</v>
      </c>
      <c r="B316" s="4" t="s">
        <v>8</v>
      </c>
      <c r="C316" s="28" t="s">
        <v>310</v>
      </c>
      <c r="D316" s="29" t="s">
        <v>117</v>
      </c>
      <c r="E316" s="5" t="s">
        <v>10</v>
      </c>
      <c r="F316" s="6">
        <v>211629.65</v>
      </c>
      <c r="G316" s="6">
        <v>211701.52</v>
      </c>
      <c r="H316" t="str">
        <f>IFERROR(VLOOKUP(C316,Sheet4!B:C,2,0),"")</f>
        <v/>
      </c>
    </row>
    <row r="317" spans="1:8" x14ac:dyDescent="0.35">
      <c r="A317" s="4" t="s">
        <v>7</v>
      </c>
      <c r="B317" s="4" t="s">
        <v>8</v>
      </c>
      <c r="C317" s="28" t="s">
        <v>310</v>
      </c>
      <c r="D317" s="29" t="s">
        <v>117</v>
      </c>
      <c r="E317" s="5" t="s">
        <v>11</v>
      </c>
      <c r="F317" s="6">
        <v>208764.31</v>
      </c>
      <c r="G317" s="6">
        <v>203465.76</v>
      </c>
      <c r="H317" t="str">
        <f>IFERROR(VLOOKUP(C317,Sheet4!B:C,2,0),"")</f>
        <v/>
      </c>
    </row>
    <row r="318" spans="1:8" x14ac:dyDescent="0.35">
      <c r="A318" s="4" t="s">
        <v>7</v>
      </c>
      <c r="B318" s="4" t="s">
        <v>8</v>
      </c>
      <c r="C318" s="28" t="s">
        <v>310</v>
      </c>
      <c r="D318" s="29" t="s">
        <v>117</v>
      </c>
      <c r="E318" s="5" t="s">
        <v>12</v>
      </c>
      <c r="F318" s="6">
        <v>13230.39</v>
      </c>
      <c r="G318" s="6">
        <v>13366.38</v>
      </c>
      <c r="H318" t="str">
        <f>IFERROR(VLOOKUP(C318,Sheet4!B:C,2,0),"")</f>
        <v/>
      </c>
    </row>
    <row r="319" spans="1:8" x14ac:dyDescent="0.35">
      <c r="A319" s="4" t="s">
        <v>7</v>
      </c>
      <c r="B319" s="4" t="s">
        <v>8</v>
      </c>
      <c r="C319" s="28" t="s">
        <v>311</v>
      </c>
      <c r="D319" s="29" t="s">
        <v>118</v>
      </c>
      <c r="E319" s="5" t="s">
        <v>29</v>
      </c>
      <c r="F319" s="6">
        <v>12551.86</v>
      </c>
      <c r="G319" s="6">
        <v>11236.33</v>
      </c>
      <c r="H319" t="str">
        <f>IFERROR(VLOOKUP(C319,Sheet4!B:C,2,0),"")</f>
        <v/>
      </c>
    </row>
    <row r="320" spans="1:8" x14ac:dyDescent="0.35">
      <c r="A320" s="4" t="s">
        <v>7</v>
      </c>
      <c r="B320" s="4" t="s">
        <v>8</v>
      </c>
      <c r="C320" s="28" t="s">
        <v>311</v>
      </c>
      <c r="D320" s="29" t="s">
        <v>118</v>
      </c>
      <c r="E320" s="5" t="s">
        <v>10</v>
      </c>
      <c r="F320" s="6">
        <v>501111.4</v>
      </c>
      <c r="G320" s="6">
        <v>478883.51</v>
      </c>
      <c r="H320" t="str">
        <f>IFERROR(VLOOKUP(C320,Sheet4!B:C,2,0),"")</f>
        <v/>
      </c>
    </row>
    <row r="321" spans="1:8" x14ac:dyDescent="0.35">
      <c r="A321" s="4" t="s">
        <v>7</v>
      </c>
      <c r="B321" s="4" t="s">
        <v>8</v>
      </c>
      <c r="C321" s="28" t="s">
        <v>311</v>
      </c>
      <c r="D321" s="29" t="s">
        <v>118</v>
      </c>
      <c r="E321" s="5" t="s">
        <v>11</v>
      </c>
      <c r="F321" s="6">
        <v>374068.49</v>
      </c>
      <c r="G321" s="6">
        <v>340363.75</v>
      </c>
      <c r="H321" t="str">
        <f>IFERROR(VLOOKUP(C321,Sheet4!B:C,2,0),"")</f>
        <v/>
      </c>
    </row>
    <row r="322" spans="1:8" x14ac:dyDescent="0.35">
      <c r="A322" s="4" t="s">
        <v>7</v>
      </c>
      <c r="B322" s="4" t="s">
        <v>8</v>
      </c>
      <c r="C322" s="28" t="s">
        <v>311</v>
      </c>
      <c r="D322" s="29" t="s">
        <v>118</v>
      </c>
      <c r="E322" s="5" t="s">
        <v>12</v>
      </c>
      <c r="F322" s="6">
        <v>38002.68</v>
      </c>
      <c r="G322" s="6">
        <v>37526.1</v>
      </c>
      <c r="H322" t="str">
        <f>IFERROR(VLOOKUP(C322,Sheet4!B:C,2,0),"")</f>
        <v/>
      </c>
    </row>
    <row r="323" spans="1:8" x14ac:dyDescent="0.35">
      <c r="A323" s="4" t="s">
        <v>7</v>
      </c>
      <c r="B323" s="4" t="s">
        <v>8</v>
      </c>
      <c r="C323" s="28" t="s">
        <v>312</v>
      </c>
      <c r="D323" s="29" t="s">
        <v>119</v>
      </c>
      <c r="E323" s="5" t="s">
        <v>29</v>
      </c>
      <c r="F323" s="6"/>
      <c r="G323" s="6"/>
      <c r="H323" t="str">
        <f>IFERROR(VLOOKUP(C323,Sheet4!B:C,2,0),"")</f>
        <v/>
      </c>
    </row>
    <row r="324" spans="1:8" x14ac:dyDescent="0.35">
      <c r="A324" s="4" t="s">
        <v>7</v>
      </c>
      <c r="B324" s="4" t="s">
        <v>8</v>
      </c>
      <c r="C324" s="28" t="s">
        <v>312</v>
      </c>
      <c r="D324" s="29" t="s">
        <v>119</v>
      </c>
      <c r="E324" s="5" t="s">
        <v>10</v>
      </c>
      <c r="F324" s="6">
        <v>2488.77</v>
      </c>
      <c r="G324" s="6">
        <v>1794.42</v>
      </c>
      <c r="H324" t="str">
        <f>IFERROR(VLOOKUP(C324,Sheet4!B:C,2,0),"")</f>
        <v/>
      </c>
    </row>
    <row r="325" spans="1:8" x14ac:dyDescent="0.35">
      <c r="A325" s="4" t="s">
        <v>7</v>
      </c>
      <c r="B325" s="4" t="s">
        <v>8</v>
      </c>
      <c r="C325" s="28" t="s">
        <v>312</v>
      </c>
      <c r="D325" s="29" t="s">
        <v>119</v>
      </c>
      <c r="E325" s="5" t="s">
        <v>11</v>
      </c>
      <c r="F325" s="6">
        <v>604.04999999999995</v>
      </c>
      <c r="G325" s="6">
        <v>124.15</v>
      </c>
      <c r="H325" t="str">
        <f>IFERROR(VLOOKUP(C325,Sheet4!B:C,2,0),"")</f>
        <v/>
      </c>
    </row>
    <row r="326" spans="1:8" x14ac:dyDescent="0.35">
      <c r="A326" s="4" t="s">
        <v>7</v>
      </c>
      <c r="B326" s="4" t="s">
        <v>8</v>
      </c>
      <c r="C326" s="28" t="s">
        <v>312</v>
      </c>
      <c r="D326" s="29" t="s">
        <v>119</v>
      </c>
      <c r="E326" s="5" t="s">
        <v>12</v>
      </c>
      <c r="F326" s="6">
        <v>39.369999999999997</v>
      </c>
      <c r="G326" s="6">
        <v>111.69</v>
      </c>
      <c r="H326" t="str">
        <f>IFERROR(VLOOKUP(C326,Sheet4!B:C,2,0),"")</f>
        <v/>
      </c>
    </row>
    <row r="327" spans="1:8" x14ac:dyDescent="0.35">
      <c r="A327" s="4" t="s">
        <v>7</v>
      </c>
      <c r="B327" s="4" t="s">
        <v>8</v>
      </c>
      <c r="C327" s="28" t="s">
        <v>313</v>
      </c>
      <c r="D327" s="29" t="s">
        <v>120</v>
      </c>
      <c r="E327" s="5" t="s">
        <v>29</v>
      </c>
      <c r="F327" s="6">
        <v>1288.45</v>
      </c>
      <c r="G327" s="6">
        <v>386.04</v>
      </c>
      <c r="H327" t="str">
        <f>IFERROR(VLOOKUP(C327,Sheet4!B:C,2,0),"")</f>
        <v/>
      </c>
    </row>
    <row r="328" spans="1:8" x14ac:dyDescent="0.35">
      <c r="A328" s="4" t="s">
        <v>7</v>
      </c>
      <c r="B328" s="4" t="s">
        <v>8</v>
      </c>
      <c r="C328" s="28" t="s">
        <v>313</v>
      </c>
      <c r="D328" s="29" t="s">
        <v>120</v>
      </c>
      <c r="E328" s="5" t="s">
        <v>10</v>
      </c>
      <c r="F328" s="6">
        <v>55091.28</v>
      </c>
      <c r="G328" s="6">
        <v>17918.689999999999</v>
      </c>
      <c r="H328" t="str">
        <f>IFERROR(VLOOKUP(C328,Sheet4!B:C,2,0),"")</f>
        <v/>
      </c>
    </row>
    <row r="329" spans="1:8" x14ac:dyDescent="0.35">
      <c r="A329" s="4" t="s">
        <v>7</v>
      </c>
      <c r="B329" s="4" t="s">
        <v>8</v>
      </c>
      <c r="C329" s="28" t="s">
        <v>313</v>
      </c>
      <c r="D329" s="29" t="s">
        <v>120</v>
      </c>
      <c r="E329" s="5" t="s">
        <v>11</v>
      </c>
      <c r="F329" s="6">
        <v>41185.480000000003</v>
      </c>
      <c r="G329" s="6">
        <v>12234.07</v>
      </c>
      <c r="H329" t="str">
        <f>IFERROR(VLOOKUP(C329,Sheet4!B:C,2,0),"")</f>
        <v/>
      </c>
    </row>
    <row r="330" spans="1:8" x14ac:dyDescent="0.35">
      <c r="A330" s="4" t="s">
        <v>7</v>
      </c>
      <c r="B330" s="4" t="s">
        <v>8</v>
      </c>
      <c r="C330" s="28" t="s">
        <v>313</v>
      </c>
      <c r="D330" s="29" t="s">
        <v>120</v>
      </c>
      <c r="E330" s="5" t="s">
        <v>12</v>
      </c>
      <c r="F330" s="6">
        <v>4162.7</v>
      </c>
      <c r="G330" s="6">
        <v>1383.31</v>
      </c>
      <c r="H330" t="str">
        <f>IFERROR(VLOOKUP(C330,Sheet4!B:C,2,0),"")</f>
        <v/>
      </c>
    </row>
    <row r="331" spans="1:8" x14ac:dyDescent="0.35">
      <c r="A331" s="4" t="s">
        <v>7</v>
      </c>
      <c r="B331" s="4" t="s">
        <v>8</v>
      </c>
      <c r="C331" s="28" t="s">
        <v>314</v>
      </c>
      <c r="D331" s="29" t="s">
        <v>121</v>
      </c>
      <c r="E331" s="5" t="s">
        <v>10</v>
      </c>
      <c r="F331" s="6">
        <v>1302.42</v>
      </c>
      <c r="G331" s="6">
        <v>1121.51</v>
      </c>
      <c r="H331" t="str">
        <f>IFERROR(VLOOKUP(C331,Sheet4!B:C,2,0),"")</f>
        <v/>
      </c>
    </row>
    <row r="332" spans="1:8" x14ac:dyDescent="0.35">
      <c r="A332" s="4" t="s">
        <v>7</v>
      </c>
      <c r="B332" s="4" t="s">
        <v>8</v>
      </c>
      <c r="C332" s="28" t="s">
        <v>314</v>
      </c>
      <c r="D332" s="29" t="s">
        <v>121</v>
      </c>
      <c r="E332" s="5" t="s">
        <v>11</v>
      </c>
      <c r="F332" s="6">
        <v>796.81</v>
      </c>
      <c r="G332" s="6">
        <v>836.5</v>
      </c>
      <c r="H332" t="str">
        <f>IFERROR(VLOOKUP(C332,Sheet4!B:C,2,0),"")</f>
        <v/>
      </c>
    </row>
    <row r="333" spans="1:8" x14ac:dyDescent="0.35">
      <c r="A333" s="4" t="s">
        <v>7</v>
      </c>
      <c r="B333" s="4" t="s">
        <v>8</v>
      </c>
      <c r="C333" s="28" t="s">
        <v>314</v>
      </c>
      <c r="D333" s="29" t="s">
        <v>121</v>
      </c>
      <c r="E333" s="5" t="s">
        <v>12</v>
      </c>
      <c r="F333" s="6"/>
      <c r="G333" s="6">
        <v>0</v>
      </c>
      <c r="H333" t="str">
        <f>IFERROR(VLOOKUP(C333,Sheet4!B:C,2,0),"")</f>
        <v/>
      </c>
    </row>
    <row r="334" spans="1:8" x14ac:dyDescent="0.35">
      <c r="A334" s="4" t="s">
        <v>7</v>
      </c>
      <c r="B334" s="4" t="s">
        <v>8</v>
      </c>
      <c r="C334" s="28" t="s">
        <v>315</v>
      </c>
      <c r="D334" s="29" t="s">
        <v>122</v>
      </c>
      <c r="E334" s="5" t="s">
        <v>29</v>
      </c>
      <c r="F334" s="6"/>
      <c r="G334" s="6"/>
      <c r="H334" t="str">
        <f>IFERROR(VLOOKUP(C334,Sheet4!B:C,2,0),"")</f>
        <v/>
      </c>
    </row>
    <row r="335" spans="1:8" x14ac:dyDescent="0.35">
      <c r="A335" s="4" t="s">
        <v>7</v>
      </c>
      <c r="B335" s="4" t="s">
        <v>8</v>
      </c>
      <c r="C335" s="28" t="s">
        <v>315</v>
      </c>
      <c r="D335" s="29" t="s">
        <v>122</v>
      </c>
      <c r="E335" s="5" t="s">
        <v>10</v>
      </c>
      <c r="F335" s="6">
        <v>4193.05</v>
      </c>
      <c r="G335" s="6">
        <v>3604.45</v>
      </c>
      <c r="H335" t="str">
        <f>IFERROR(VLOOKUP(C335,Sheet4!B:C,2,0),"")</f>
        <v/>
      </c>
    </row>
    <row r="336" spans="1:8" x14ac:dyDescent="0.35">
      <c r="A336" s="4" t="s">
        <v>7</v>
      </c>
      <c r="B336" s="4" t="s">
        <v>8</v>
      </c>
      <c r="C336" s="28" t="s">
        <v>315</v>
      </c>
      <c r="D336" s="29" t="s">
        <v>122</v>
      </c>
      <c r="E336" s="5" t="s">
        <v>11</v>
      </c>
      <c r="F336" s="6">
        <v>12636.73</v>
      </c>
      <c r="G336" s="6">
        <v>10040.76</v>
      </c>
      <c r="H336" t="str">
        <f>IFERROR(VLOOKUP(C336,Sheet4!B:C,2,0),"")</f>
        <v/>
      </c>
    </row>
    <row r="337" spans="1:8" x14ac:dyDescent="0.35">
      <c r="A337" s="4" t="s">
        <v>7</v>
      </c>
      <c r="B337" s="4" t="s">
        <v>8</v>
      </c>
      <c r="C337" s="28" t="s">
        <v>315</v>
      </c>
      <c r="D337" s="29" t="s">
        <v>122</v>
      </c>
      <c r="E337" s="5" t="s">
        <v>12</v>
      </c>
      <c r="F337" s="6">
        <v>1655</v>
      </c>
      <c r="G337" s="6">
        <v>457.55</v>
      </c>
      <c r="H337" t="str">
        <f>IFERROR(VLOOKUP(C337,Sheet4!B:C,2,0),"")</f>
        <v/>
      </c>
    </row>
    <row r="338" spans="1:8" x14ac:dyDescent="0.35">
      <c r="A338" s="4" t="s">
        <v>7</v>
      </c>
      <c r="B338" s="4" t="s">
        <v>8</v>
      </c>
      <c r="C338" s="28" t="s">
        <v>316</v>
      </c>
      <c r="D338" s="29" t="s">
        <v>123</v>
      </c>
      <c r="E338" s="5" t="s">
        <v>10</v>
      </c>
      <c r="F338" s="6">
        <v>164.5</v>
      </c>
      <c r="G338" s="6">
        <v>820.27</v>
      </c>
      <c r="H338" t="str">
        <f>IFERROR(VLOOKUP(C338,Sheet4!B:C,2,0),"")</f>
        <v/>
      </c>
    </row>
    <row r="339" spans="1:8" x14ac:dyDescent="0.35">
      <c r="A339" s="4" t="s">
        <v>7</v>
      </c>
      <c r="B339" s="4" t="s">
        <v>8</v>
      </c>
      <c r="C339" s="28" t="s">
        <v>316</v>
      </c>
      <c r="D339" s="29" t="s">
        <v>123</v>
      </c>
      <c r="E339" s="5" t="s">
        <v>11</v>
      </c>
      <c r="F339" s="6">
        <v>46.51</v>
      </c>
      <c r="G339" s="6">
        <v>267.95999999999998</v>
      </c>
      <c r="H339" t="str">
        <f>IFERROR(VLOOKUP(C339,Sheet4!B:C,2,0),"")</f>
        <v/>
      </c>
    </row>
    <row r="340" spans="1:8" x14ac:dyDescent="0.35">
      <c r="A340" s="4" t="s">
        <v>7</v>
      </c>
      <c r="B340" s="4" t="s">
        <v>8</v>
      </c>
      <c r="C340" s="28" t="s">
        <v>317</v>
      </c>
      <c r="D340" s="29" t="s">
        <v>124</v>
      </c>
      <c r="E340" s="5" t="s">
        <v>29</v>
      </c>
      <c r="F340" s="6"/>
      <c r="G340" s="6"/>
      <c r="H340" t="str">
        <f>IFERROR(VLOOKUP(C340,Sheet4!B:C,2,0),"")</f>
        <v/>
      </c>
    </row>
    <row r="341" spans="1:8" x14ac:dyDescent="0.35">
      <c r="A341" s="4" t="s">
        <v>7</v>
      </c>
      <c r="B341" s="4" t="s">
        <v>8</v>
      </c>
      <c r="C341" s="28" t="s">
        <v>317</v>
      </c>
      <c r="D341" s="29" t="s">
        <v>124</v>
      </c>
      <c r="E341" s="5" t="s">
        <v>10</v>
      </c>
      <c r="F341" s="6">
        <v>3802.76</v>
      </c>
      <c r="G341" s="6">
        <v>2354.1799999999998</v>
      </c>
      <c r="H341" t="str">
        <f>IFERROR(VLOOKUP(C341,Sheet4!B:C,2,0),"")</f>
        <v/>
      </c>
    </row>
    <row r="342" spans="1:8" x14ac:dyDescent="0.35">
      <c r="A342" s="4" t="s">
        <v>7</v>
      </c>
      <c r="B342" s="4" t="s">
        <v>8</v>
      </c>
      <c r="C342" s="28" t="s">
        <v>317</v>
      </c>
      <c r="D342" s="29" t="s">
        <v>124</v>
      </c>
      <c r="E342" s="5" t="s">
        <v>11</v>
      </c>
      <c r="F342" s="6">
        <v>2098.84</v>
      </c>
      <c r="G342" s="6">
        <v>2450</v>
      </c>
      <c r="H342" t="str">
        <f>IFERROR(VLOOKUP(C342,Sheet4!B:C,2,0),"")</f>
        <v/>
      </c>
    </row>
    <row r="343" spans="1:8" x14ac:dyDescent="0.35">
      <c r="A343" s="4" t="s">
        <v>7</v>
      </c>
      <c r="B343" s="4" t="s">
        <v>8</v>
      </c>
      <c r="C343" s="28" t="s">
        <v>317</v>
      </c>
      <c r="D343" s="29" t="s">
        <v>124</v>
      </c>
      <c r="E343" s="5" t="s">
        <v>12</v>
      </c>
      <c r="F343" s="6"/>
      <c r="G343" s="6"/>
      <c r="H343" t="str">
        <f>IFERROR(VLOOKUP(C343,Sheet4!B:C,2,0),"")</f>
        <v/>
      </c>
    </row>
    <row r="344" spans="1:8" x14ac:dyDescent="0.35">
      <c r="A344" s="4" t="s">
        <v>7</v>
      </c>
      <c r="B344" s="4" t="s">
        <v>8</v>
      </c>
      <c r="C344" s="28" t="s">
        <v>318</v>
      </c>
      <c r="D344" s="29" t="s">
        <v>319</v>
      </c>
      <c r="E344" s="5" t="s">
        <v>11</v>
      </c>
      <c r="F344" s="6"/>
      <c r="G344" s="6"/>
      <c r="H344" t="str">
        <f>IFERROR(VLOOKUP(C344,Sheet4!B:C,2,0),"")</f>
        <v/>
      </c>
    </row>
    <row r="345" spans="1:8" x14ac:dyDescent="0.35">
      <c r="A345" s="4" t="s">
        <v>7</v>
      </c>
      <c r="B345" s="4" t="s">
        <v>8</v>
      </c>
      <c r="C345" s="28" t="s">
        <v>320</v>
      </c>
      <c r="D345" s="29" t="s">
        <v>125</v>
      </c>
      <c r="E345" s="5" t="s">
        <v>10</v>
      </c>
      <c r="F345" s="6">
        <v>506.76</v>
      </c>
      <c r="G345" s="6">
        <v>1419.99</v>
      </c>
      <c r="H345" t="str">
        <f>IFERROR(VLOOKUP(C345,Sheet4!B:C,2,0),"")</f>
        <v/>
      </c>
    </row>
    <row r="346" spans="1:8" x14ac:dyDescent="0.35">
      <c r="A346" s="4" t="s">
        <v>7</v>
      </c>
      <c r="B346" s="4" t="s">
        <v>8</v>
      </c>
      <c r="C346" s="28" t="s">
        <v>320</v>
      </c>
      <c r="D346" s="29" t="s">
        <v>125</v>
      </c>
      <c r="E346" s="5" t="s">
        <v>11</v>
      </c>
      <c r="F346" s="6">
        <v>0</v>
      </c>
      <c r="G346" s="6"/>
      <c r="H346" t="str">
        <f>IFERROR(VLOOKUP(C346,Sheet4!B:C,2,0),"")</f>
        <v/>
      </c>
    </row>
    <row r="347" spans="1:8" x14ac:dyDescent="0.35">
      <c r="A347" s="4" t="s">
        <v>7</v>
      </c>
      <c r="B347" s="4" t="s">
        <v>8</v>
      </c>
      <c r="C347" s="28" t="s">
        <v>321</v>
      </c>
      <c r="D347" s="29" t="s">
        <v>126</v>
      </c>
      <c r="E347" s="5" t="s">
        <v>29</v>
      </c>
      <c r="F347" s="6"/>
      <c r="G347" s="6"/>
      <c r="H347" t="str">
        <f>IFERROR(VLOOKUP(C347,Sheet4!B:C,2,0),"")</f>
        <v/>
      </c>
    </row>
    <row r="348" spans="1:8" x14ac:dyDescent="0.35">
      <c r="A348" s="4" t="s">
        <v>7</v>
      </c>
      <c r="B348" s="4" t="s">
        <v>8</v>
      </c>
      <c r="C348" s="28" t="s">
        <v>321</v>
      </c>
      <c r="D348" s="29" t="s">
        <v>126</v>
      </c>
      <c r="E348" s="5" t="s">
        <v>10</v>
      </c>
      <c r="F348" s="6">
        <v>2473.2399999999998</v>
      </c>
      <c r="G348" s="6">
        <v>4153.6000000000004</v>
      </c>
      <c r="H348" t="str">
        <f>IFERROR(VLOOKUP(C348,Sheet4!B:C,2,0),"")</f>
        <v/>
      </c>
    </row>
    <row r="349" spans="1:8" x14ac:dyDescent="0.35">
      <c r="A349" s="4" t="s">
        <v>7</v>
      </c>
      <c r="B349" s="4" t="s">
        <v>8</v>
      </c>
      <c r="C349" s="28" t="s">
        <v>321</v>
      </c>
      <c r="D349" s="29" t="s">
        <v>126</v>
      </c>
      <c r="E349" s="5" t="s">
        <v>11</v>
      </c>
      <c r="F349" s="6"/>
      <c r="G349" s="6"/>
      <c r="H349" t="str">
        <f>IFERROR(VLOOKUP(C349,Sheet4!B:C,2,0),"")</f>
        <v/>
      </c>
    </row>
    <row r="350" spans="1:8" x14ac:dyDescent="0.35">
      <c r="A350" s="4" t="s">
        <v>7</v>
      </c>
      <c r="B350" s="4" t="s">
        <v>8</v>
      </c>
      <c r="C350" s="28" t="s">
        <v>321</v>
      </c>
      <c r="D350" s="29" t="s">
        <v>126</v>
      </c>
      <c r="E350" s="5" t="s">
        <v>12</v>
      </c>
      <c r="F350" s="6"/>
      <c r="G350" s="6"/>
      <c r="H350" t="str">
        <f>IFERROR(VLOOKUP(C350,Sheet4!B:C,2,0),"")</f>
        <v/>
      </c>
    </row>
    <row r="351" spans="1:8" x14ac:dyDescent="0.35">
      <c r="A351" s="4" t="s">
        <v>7</v>
      </c>
      <c r="B351" s="4" t="s">
        <v>8</v>
      </c>
      <c r="C351" s="28" t="s">
        <v>322</v>
      </c>
      <c r="D351" s="29" t="s">
        <v>127</v>
      </c>
      <c r="E351" s="5" t="s">
        <v>10</v>
      </c>
      <c r="F351" s="6"/>
      <c r="G351" s="6"/>
      <c r="H351" t="str">
        <f>IFERROR(VLOOKUP(C351,Sheet4!B:C,2,0),"")</f>
        <v/>
      </c>
    </row>
    <row r="352" spans="1:8" x14ac:dyDescent="0.35">
      <c r="A352" s="4" t="s">
        <v>7</v>
      </c>
      <c r="B352" s="4" t="s">
        <v>8</v>
      </c>
      <c r="C352" s="28" t="s">
        <v>322</v>
      </c>
      <c r="D352" s="29" t="s">
        <v>127</v>
      </c>
      <c r="E352" s="5" t="s">
        <v>11</v>
      </c>
      <c r="F352" s="6">
        <v>380</v>
      </c>
      <c r="G352" s="6">
        <v>5416.93</v>
      </c>
      <c r="H352" t="str">
        <f>IFERROR(VLOOKUP(C352,Sheet4!B:C,2,0),"")</f>
        <v/>
      </c>
    </row>
    <row r="353" spans="1:8" x14ac:dyDescent="0.35">
      <c r="A353" s="4" t="s">
        <v>7</v>
      </c>
      <c r="B353" s="4" t="s">
        <v>8</v>
      </c>
      <c r="C353" s="28" t="s">
        <v>322</v>
      </c>
      <c r="D353" s="29" t="s">
        <v>127</v>
      </c>
      <c r="E353" s="5" t="s">
        <v>12</v>
      </c>
      <c r="F353" s="6">
        <v>6286.09</v>
      </c>
      <c r="G353" s="6"/>
      <c r="H353" t="str">
        <f>IFERROR(VLOOKUP(C353,Sheet4!B:C,2,0),"")</f>
        <v/>
      </c>
    </row>
    <row r="354" spans="1:8" x14ac:dyDescent="0.35">
      <c r="A354" s="4" t="s">
        <v>7</v>
      </c>
      <c r="B354" s="4" t="s">
        <v>8</v>
      </c>
      <c r="C354" s="28" t="s">
        <v>323</v>
      </c>
      <c r="D354" s="29" t="s">
        <v>128</v>
      </c>
      <c r="E354" s="5" t="s">
        <v>11</v>
      </c>
      <c r="F354" s="6"/>
      <c r="G354" s="6">
        <v>0</v>
      </c>
      <c r="H354" t="str">
        <f>IFERROR(VLOOKUP(C354,Sheet4!B:C,2,0),"")</f>
        <v/>
      </c>
    </row>
    <row r="355" spans="1:8" x14ac:dyDescent="0.35">
      <c r="A355" s="4" t="s">
        <v>7</v>
      </c>
      <c r="B355" s="4" t="s">
        <v>8</v>
      </c>
      <c r="C355" s="28" t="s">
        <v>323</v>
      </c>
      <c r="D355" s="29" t="s">
        <v>128</v>
      </c>
      <c r="E355" s="5" t="s">
        <v>12</v>
      </c>
      <c r="F355" s="6">
        <v>2467.19</v>
      </c>
      <c r="G355" s="6">
        <v>4820</v>
      </c>
      <c r="H355" t="str">
        <f>IFERROR(VLOOKUP(C355,Sheet4!B:C,2,0),"")</f>
        <v/>
      </c>
    </row>
    <row r="356" spans="1:8" x14ac:dyDescent="0.35">
      <c r="A356" s="4" t="s">
        <v>7</v>
      </c>
      <c r="B356" s="4" t="s">
        <v>8</v>
      </c>
      <c r="C356" s="28" t="s">
        <v>324</v>
      </c>
      <c r="D356" s="29" t="s">
        <v>129</v>
      </c>
      <c r="E356" s="5" t="s">
        <v>29</v>
      </c>
      <c r="F356" s="6">
        <v>6.4</v>
      </c>
      <c r="G356" s="6"/>
      <c r="H356" t="str">
        <f>IFERROR(VLOOKUP(C356,Sheet4!B:C,2,0),"")</f>
        <v/>
      </c>
    </row>
    <row r="357" spans="1:8" x14ac:dyDescent="0.35">
      <c r="A357" s="4" t="s">
        <v>7</v>
      </c>
      <c r="B357" s="4" t="s">
        <v>8</v>
      </c>
      <c r="C357" s="28" t="s">
        <v>324</v>
      </c>
      <c r="D357" s="29" t="s">
        <v>129</v>
      </c>
      <c r="E357" s="5" t="s">
        <v>10</v>
      </c>
      <c r="F357" s="6">
        <v>6570.66</v>
      </c>
      <c r="G357" s="6">
        <v>11744.65</v>
      </c>
      <c r="H357" t="str">
        <f>IFERROR(VLOOKUP(C357,Sheet4!B:C,2,0),"")</f>
        <v/>
      </c>
    </row>
    <row r="358" spans="1:8" x14ac:dyDescent="0.35">
      <c r="A358" s="4" t="s">
        <v>7</v>
      </c>
      <c r="B358" s="4" t="s">
        <v>8</v>
      </c>
      <c r="C358" s="28" t="s">
        <v>324</v>
      </c>
      <c r="D358" s="29" t="s">
        <v>129</v>
      </c>
      <c r="E358" s="5" t="s">
        <v>11</v>
      </c>
      <c r="F358" s="6">
        <v>29780.9</v>
      </c>
      <c r="G358" s="6">
        <v>9318.5</v>
      </c>
      <c r="H358" t="str">
        <f>IFERROR(VLOOKUP(C358,Sheet4!B:C,2,0),"")</f>
        <v/>
      </c>
    </row>
    <row r="359" spans="1:8" x14ac:dyDescent="0.35">
      <c r="A359" s="4" t="s">
        <v>7</v>
      </c>
      <c r="B359" s="4" t="s">
        <v>8</v>
      </c>
      <c r="C359" s="28" t="s">
        <v>324</v>
      </c>
      <c r="D359" s="29" t="s">
        <v>129</v>
      </c>
      <c r="E359" s="5" t="s">
        <v>12</v>
      </c>
      <c r="F359" s="6">
        <v>7501.76</v>
      </c>
      <c r="G359" s="6">
        <v>11701.96</v>
      </c>
      <c r="H359" t="str">
        <f>IFERROR(VLOOKUP(C359,Sheet4!B:C,2,0),"")</f>
        <v/>
      </c>
    </row>
    <row r="360" spans="1:8" x14ac:dyDescent="0.35">
      <c r="A360" s="4" t="s">
        <v>7</v>
      </c>
      <c r="B360" s="4" t="s">
        <v>8</v>
      </c>
      <c r="C360" s="28" t="s">
        <v>130</v>
      </c>
      <c r="D360" s="29" t="s">
        <v>131</v>
      </c>
      <c r="E360" s="5" t="s">
        <v>11</v>
      </c>
      <c r="F360" s="6">
        <v>-5631.54</v>
      </c>
      <c r="G360" s="6">
        <v>0</v>
      </c>
      <c r="H360" t="str">
        <f>IFERROR(VLOOKUP(C360,Sheet4!B:C,2,0),"")</f>
        <v>Other Period Expense</v>
      </c>
    </row>
    <row r="361" spans="1:8" x14ac:dyDescent="0.35">
      <c r="A361" s="4" t="s">
        <v>7</v>
      </c>
      <c r="B361" s="4" t="s">
        <v>8</v>
      </c>
      <c r="C361" s="28" t="s">
        <v>132</v>
      </c>
      <c r="D361" s="29" t="s">
        <v>133</v>
      </c>
      <c r="E361" s="5" t="s">
        <v>29</v>
      </c>
      <c r="F361" s="6">
        <v>141242.29999999999</v>
      </c>
      <c r="G361" s="6">
        <v>101408.46</v>
      </c>
      <c r="H361" t="str">
        <f>IFERROR(VLOOKUP(C361,Sheet4!B:C,2,0),"")</f>
        <v>Other Period Expense</v>
      </c>
    </row>
    <row r="362" spans="1:8" x14ac:dyDescent="0.35">
      <c r="A362" s="4" t="s">
        <v>7</v>
      </c>
      <c r="B362" s="4" t="s">
        <v>8</v>
      </c>
      <c r="C362" s="28" t="s">
        <v>132</v>
      </c>
      <c r="D362" s="29" t="s">
        <v>133</v>
      </c>
      <c r="E362" s="5" t="s">
        <v>10</v>
      </c>
      <c r="F362" s="6">
        <v>6853813.3200000003</v>
      </c>
      <c r="G362" s="6">
        <v>5883161.9800000004</v>
      </c>
      <c r="H362" t="str">
        <f>IFERROR(VLOOKUP(C362,Sheet4!B:C,2,0),"")</f>
        <v>Other Period Expense</v>
      </c>
    </row>
    <row r="363" spans="1:8" x14ac:dyDescent="0.35">
      <c r="A363" s="4" t="s">
        <v>7</v>
      </c>
      <c r="B363" s="4" t="s">
        <v>8</v>
      </c>
      <c r="C363" s="28" t="s">
        <v>132</v>
      </c>
      <c r="D363" s="29" t="s">
        <v>133</v>
      </c>
      <c r="E363" s="5" t="s">
        <v>11</v>
      </c>
      <c r="F363" s="6">
        <v>6537197.4100000001</v>
      </c>
      <c r="G363" s="6">
        <v>5513403.75</v>
      </c>
      <c r="H363" t="str">
        <f>IFERROR(VLOOKUP(C363,Sheet4!B:C,2,0),"")</f>
        <v>Other Period Expense</v>
      </c>
    </row>
    <row r="364" spans="1:8" x14ac:dyDescent="0.35">
      <c r="A364" s="4" t="s">
        <v>7</v>
      </c>
      <c r="B364" s="4" t="s">
        <v>8</v>
      </c>
      <c r="C364" s="28" t="s">
        <v>132</v>
      </c>
      <c r="D364" s="29" t="s">
        <v>133</v>
      </c>
      <c r="E364" s="5" t="s">
        <v>30</v>
      </c>
      <c r="F364" s="6">
        <v>139994.01</v>
      </c>
      <c r="G364" s="6">
        <v>99431.43</v>
      </c>
      <c r="H364" t="str">
        <f>IFERROR(VLOOKUP(C364,Sheet4!B:C,2,0),"")</f>
        <v>Other Period Expense</v>
      </c>
    </row>
    <row r="365" spans="1:8" x14ac:dyDescent="0.35">
      <c r="A365" s="4" t="s">
        <v>7</v>
      </c>
      <c r="B365" s="4" t="s">
        <v>8</v>
      </c>
      <c r="C365" s="28" t="s">
        <v>132</v>
      </c>
      <c r="D365" s="29" t="s">
        <v>133</v>
      </c>
      <c r="E365" s="5" t="s">
        <v>12</v>
      </c>
      <c r="F365" s="6">
        <v>792457.79</v>
      </c>
      <c r="G365" s="6">
        <v>908120.09</v>
      </c>
      <c r="H365" t="str">
        <f>IFERROR(VLOOKUP(C365,Sheet4!B:C,2,0),"")</f>
        <v>Other Period Expense</v>
      </c>
    </row>
    <row r="366" spans="1:8" x14ac:dyDescent="0.35">
      <c r="A366" s="4" t="s">
        <v>7</v>
      </c>
      <c r="B366" s="4" t="s">
        <v>8</v>
      </c>
      <c r="C366" s="28" t="s">
        <v>134</v>
      </c>
      <c r="D366" s="29" t="s">
        <v>135</v>
      </c>
      <c r="E366" s="5" t="s">
        <v>29</v>
      </c>
      <c r="F366" s="6">
        <v>-141242.29999999999</v>
      </c>
      <c r="G366" s="6">
        <v>-109668.42</v>
      </c>
      <c r="H366" t="str">
        <f>IFERROR(VLOOKUP(C366,Sheet4!B:C,2,0),"")</f>
        <v>Other Period Expense</v>
      </c>
    </row>
    <row r="367" spans="1:8" x14ac:dyDescent="0.35">
      <c r="A367" s="4" t="s">
        <v>7</v>
      </c>
      <c r="B367" s="4" t="s">
        <v>8</v>
      </c>
      <c r="C367" s="28" t="s">
        <v>134</v>
      </c>
      <c r="D367" s="29" t="s">
        <v>135</v>
      </c>
      <c r="E367" s="5" t="s">
        <v>10</v>
      </c>
      <c r="F367" s="6">
        <v>-7427688.8899999997</v>
      </c>
      <c r="G367" s="6">
        <v>-6446877.6299999999</v>
      </c>
      <c r="H367" t="str">
        <f>IFERROR(VLOOKUP(C367,Sheet4!B:C,2,0),"")</f>
        <v>Other Period Expense</v>
      </c>
    </row>
    <row r="368" spans="1:8" x14ac:dyDescent="0.35">
      <c r="A368" s="4" t="s">
        <v>7</v>
      </c>
      <c r="B368" s="4" t="s">
        <v>8</v>
      </c>
      <c r="C368" s="28" t="s">
        <v>134</v>
      </c>
      <c r="D368" s="29" t="s">
        <v>135</v>
      </c>
      <c r="E368" s="5" t="s">
        <v>11</v>
      </c>
      <c r="F368" s="6">
        <v>-6515628.6500000004</v>
      </c>
      <c r="G368" s="6">
        <v>-5518131.7599999998</v>
      </c>
      <c r="H368" t="str">
        <f>IFERROR(VLOOKUP(C368,Sheet4!B:C,2,0),"")</f>
        <v>Other Period Expense</v>
      </c>
    </row>
    <row r="369" spans="1:8" x14ac:dyDescent="0.35">
      <c r="A369" s="4" t="s">
        <v>7</v>
      </c>
      <c r="B369" s="4" t="s">
        <v>8</v>
      </c>
      <c r="C369" s="28" t="s">
        <v>134</v>
      </c>
      <c r="D369" s="29" t="s">
        <v>135</v>
      </c>
      <c r="E369" s="5" t="s">
        <v>30</v>
      </c>
      <c r="F369" s="6">
        <v>-139994.01</v>
      </c>
      <c r="G369" s="6">
        <v>-99431.43</v>
      </c>
      <c r="H369" t="str">
        <f>IFERROR(VLOOKUP(C369,Sheet4!B:C,2,0),"")</f>
        <v>Other Period Expense</v>
      </c>
    </row>
    <row r="370" spans="1:8" x14ac:dyDescent="0.35">
      <c r="A370" s="4" t="s">
        <v>7</v>
      </c>
      <c r="B370" s="4" t="s">
        <v>8</v>
      </c>
      <c r="C370" s="28" t="s">
        <v>134</v>
      </c>
      <c r="D370" s="29" t="s">
        <v>135</v>
      </c>
      <c r="E370" s="5" t="s">
        <v>12</v>
      </c>
      <c r="F370" s="6">
        <v>-824302.02</v>
      </c>
      <c r="G370" s="6">
        <v>-934755.76</v>
      </c>
      <c r="H370" t="str">
        <f>IFERROR(VLOOKUP(C370,Sheet4!B:C,2,0),"")</f>
        <v>Other Period Expense</v>
      </c>
    </row>
    <row r="371" spans="1:8" x14ac:dyDescent="0.35">
      <c r="A371" s="4" t="s">
        <v>7</v>
      </c>
      <c r="B371" s="4" t="s">
        <v>8</v>
      </c>
      <c r="C371" s="28" t="s">
        <v>136</v>
      </c>
      <c r="D371" s="29" t="s">
        <v>137</v>
      </c>
      <c r="E371" s="5" t="s">
        <v>12</v>
      </c>
      <c r="F371" s="6">
        <v>-84486.76</v>
      </c>
      <c r="G371" s="6">
        <v>52662.45</v>
      </c>
      <c r="H371" t="str">
        <f>IFERROR(VLOOKUP(C371,Sheet4!B:C,2,0),"")</f>
        <v>Other Period Expense</v>
      </c>
    </row>
    <row r="372" spans="1:8" x14ac:dyDescent="0.35">
      <c r="A372" s="4" t="s">
        <v>7</v>
      </c>
      <c r="B372" s="4" t="s">
        <v>8</v>
      </c>
      <c r="C372" s="28" t="s">
        <v>138</v>
      </c>
      <c r="D372" s="29" t="s">
        <v>139</v>
      </c>
      <c r="E372" s="5" t="s">
        <v>12</v>
      </c>
      <c r="F372" s="6">
        <v>-228.98</v>
      </c>
      <c r="G372" s="6">
        <v>47</v>
      </c>
      <c r="H372" t="str">
        <f>IFERROR(VLOOKUP(C372,Sheet4!B:C,2,0),"")</f>
        <v>Other Period Expense</v>
      </c>
    </row>
    <row r="373" spans="1:8" x14ac:dyDescent="0.35">
      <c r="A373" s="4" t="s">
        <v>7</v>
      </c>
      <c r="B373" s="4" t="s">
        <v>8</v>
      </c>
      <c r="C373" s="28" t="s">
        <v>140</v>
      </c>
      <c r="D373" s="29" t="s">
        <v>141</v>
      </c>
      <c r="E373" s="5" t="s">
        <v>12</v>
      </c>
      <c r="F373" s="6"/>
      <c r="G373" s="6">
        <v>-19168.36</v>
      </c>
      <c r="H373" t="str">
        <f>IFERROR(VLOOKUP(C373,Sheet4!B:C,2,0),"")</f>
        <v>Other Period Expense</v>
      </c>
    </row>
    <row r="374" spans="1:8" x14ac:dyDescent="0.35">
      <c r="A374" s="4" t="s">
        <v>7</v>
      </c>
      <c r="B374" s="4" t="s">
        <v>8</v>
      </c>
      <c r="C374" s="28" t="s">
        <v>142</v>
      </c>
      <c r="D374" s="29" t="s">
        <v>143</v>
      </c>
      <c r="E374" s="5" t="s">
        <v>12</v>
      </c>
      <c r="F374" s="6">
        <v>-0.05</v>
      </c>
      <c r="G374" s="6"/>
      <c r="H374" t="str">
        <f>IFERROR(VLOOKUP(C374,Sheet4!B:C,2,0),"")</f>
        <v>Other Period Expense</v>
      </c>
    </row>
    <row r="375" spans="1:8" x14ac:dyDescent="0.35">
      <c r="A375" s="4" t="s">
        <v>7</v>
      </c>
      <c r="B375" s="4" t="s">
        <v>8</v>
      </c>
      <c r="C375" s="26" t="s">
        <v>325</v>
      </c>
      <c r="D375" s="27" t="s">
        <v>326</v>
      </c>
      <c r="E375" s="5" t="s">
        <v>29</v>
      </c>
      <c r="F375" s="6">
        <v>143622.87</v>
      </c>
      <c r="G375" s="6">
        <v>117215.87</v>
      </c>
      <c r="H375" t="str">
        <f>IFERROR(VLOOKUP(C375,Sheet4!B:C,2,0),"")</f>
        <v/>
      </c>
    </row>
    <row r="376" spans="1:8" x14ac:dyDescent="0.35">
      <c r="A376" s="4" t="s">
        <v>7</v>
      </c>
      <c r="B376" s="4" t="s">
        <v>8</v>
      </c>
      <c r="C376" s="26" t="s">
        <v>325</v>
      </c>
      <c r="D376" s="27" t="s">
        <v>326</v>
      </c>
      <c r="E376" s="5" t="s">
        <v>10</v>
      </c>
      <c r="F376" s="6">
        <v>5512576</v>
      </c>
      <c r="G376" s="6">
        <v>5095553.6100000003</v>
      </c>
      <c r="H376" t="str">
        <f>IFERROR(VLOOKUP(C376,Sheet4!B:C,2,0),"")</f>
        <v/>
      </c>
    </row>
    <row r="377" spans="1:8" x14ac:dyDescent="0.35">
      <c r="A377" s="4" t="s">
        <v>7</v>
      </c>
      <c r="B377" s="4" t="s">
        <v>8</v>
      </c>
      <c r="C377" s="26" t="s">
        <v>325</v>
      </c>
      <c r="D377" s="27" t="s">
        <v>326</v>
      </c>
      <c r="E377" s="5" t="s">
        <v>11</v>
      </c>
      <c r="F377" s="6">
        <v>5478650.0099999998</v>
      </c>
      <c r="G377" s="6">
        <v>4759629.24</v>
      </c>
      <c r="H377" t="str">
        <f>IFERROR(VLOOKUP(C377,Sheet4!B:C,2,0),"")</f>
        <v/>
      </c>
    </row>
    <row r="378" spans="1:8" x14ac:dyDescent="0.35">
      <c r="A378" s="4" t="s">
        <v>7</v>
      </c>
      <c r="B378" s="4" t="s">
        <v>8</v>
      </c>
      <c r="C378" s="26" t="s">
        <v>325</v>
      </c>
      <c r="D378" s="27" t="s">
        <v>326</v>
      </c>
      <c r="E378" s="5" t="s">
        <v>12</v>
      </c>
      <c r="F378" s="6">
        <v>451189.15</v>
      </c>
      <c r="G378" s="6">
        <v>426158.77</v>
      </c>
      <c r="H378" t="str">
        <f>IFERROR(VLOOKUP(C378,Sheet4!B:C,2,0),"")</f>
        <v/>
      </c>
    </row>
    <row r="379" spans="1:8" x14ac:dyDescent="0.35">
      <c r="A379" s="4" t="s">
        <v>7</v>
      </c>
      <c r="B379" s="4" t="s">
        <v>8</v>
      </c>
      <c r="C379" s="30" t="s">
        <v>327</v>
      </c>
      <c r="D379" s="29" t="s">
        <v>182</v>
      </c>
      <c r="E379" s="5" t="s">
        <v>29</v>
      </c>
      <c r="F379" s="6">
        <v>106721.01</v>
      </c>
      <c r="G379" s="6">
        <v>97559.039999999994</v>
      </c>
      <c r="H379" t="str">
        <f>IFERROR(VLOOKUP(C379,Sheet4!B:C,2,0),"")</f>
        <v/>
      </c>
    </row>
    <row r="380" spans="1:8" x14ac:dyDescent="0.35">
      <c r="A380" s="4" t="s">
        <v>7</v>
      </c>
      <c r="B380" s="4" t="s">
        <v>8</v>
      </c>
      <c r="C380" s="30" t="s">
        <v>327</v>
      </c>
      <c r="D380" s="29" t="s">
        <v>182</v>
      </c>
      <c r="E380" s="5" t="s">
        <v>10</v>
      </c>
      <c r="F380" s="6">
        <v>3976135.93</v>
      </c>
      <c r="G380" s="6">
        <v>3843875.52</v>
      </c>
      <c r="H380" t="str">
        <f>IFERROR(VLOOKUP(C380,Sheet4!B:C,2,0),"")</f>
        <v/>
      </c>
    </row>
    <row r="381" spans="1:8" x14ac:dyDescent="0.35">
      <c r="A381" s="4" t="s">
        <v>7</v>
      </c>
      <c r="B381" s="4" t="s">
        <v>8</v>
      </c>
      <c r="C381" s="30" t="s">
        <v>327</v>
      </c>
      <c r="D381" s="29" t="s">
        <v>182</v>
      </c>
      <c r="E381" s="5" t="s">
        <v>11</v>
      </c>
      <c r="F381" s="6">
        <v>3277590.2</v>
      </c>
      <c r="G381" s="6">
        <v>2975767.74</v>
      </c>
      <c r="H381" t="str">
        <f>IFERROR(VLOOKUP(C381,Sheet4!B:C,2,0),"")</f>
        <v/>
      </c>
    </row>
    <row r="382" spans="1:8" x14ac:dyDescent="0.35">
      <c r="A382" s="4" t="s">
        <v>7</v>
      </c>
      <c r="B382" s="4" t="s">
        <v>8</v>
      </c>
      <c r="C382" s="30" t="s">
        <v>327</v>
      </c>
      <c r="D382" s="29" t="s">
        <v>182</v>
      </c>
      <c r="E382" s="5" t="s">
        <v>12</v>
      </c>
      <c r="F382" s="6">
        <v>321186.01</v>
      </c>
      <c r="G382" s="6">
        <v>322047.81</v>
      </c>
      <c r="H382" t="str">
        <f>IFERROR(VLOOKUP(C382,Sheet4!B:C,2,0),"")</f>
        <v/>
      </c>
    </row>
    <row r="383" spans="1:8" x14ac:dyDescent="0.35">
      <c r="A383" s="4" t="s">
        <v>7</v>
      </c>
      <c r="B383" s="4" t="s">
        <v>8</v>
      </c>
      <c r="C383" s="31" t="s">
        <v>328</v>
      </c>
      <c r="D383" s="32" t="s">
        <v>193</v>
      </c>
      <c r="E383" s="5" t="s">
        <v>29</v>
      </c>
      <c r="F383" s="6">
        <v>25438.86</v>
      </c>
      <c r="G383" s="6">
        <v>22239.16</v>
      </c>
      <c r="H383" t="str">
        <f>IFERROR(VLOOKUP(C383,Sheet4!B:C,2,0),"")</f>
        <v/>
      </c>
    </row>
    <row r="384" spans="1:8" x14ac:dyDescent="0.35">
      <c r="A384" s="4" t="s">
        <v>7</v>
      </c>
      <c r="B384" s="4" t="s">
        <v>8</v>
      </c>
      <c r="C384" s="31" t="s">
        <v>328</v>
      </c>
      <c r="D384" s="32" t="s">
        <v>193</v>
      </c>
      <c r="E384" s="5" t="s">
        <v>10</v>
      </c>
      <c r="F384" s="6">
        <v>1085162.3899999999</v>
      </c>
      <c r="G384" s="6">
        <v>1010367.68</v>
      </c>
      <c r="H384" t="str">
        <f>IFERROR(VLOOKUP(C384,Sheet4!B:C,2,0),"")</f>
        <v/>
      </c>
    </row>
    <row r="385" spans="1:8" x14ac:dyDescent="0.35">
      <c r="A385" s="4" t="s">
        <v>7</v>
      </c>
      <c r="B385" s="4" t="s">
        <v>8</v>
      </c>
      <c r="C385" s="31" t="s">
        <v>328</v>
      </c>
      <c r="D385" s="32" t="s">
        <v>193</v>
      </c>
      <c r="E385" s="5" t="s">
        <v>11</v>
      </c>
      <c r="F385" s="6">
        <v>908075.52000000002</v>
      </c>
      <c r="G385" s="6">
        <v>828132.44</v>
      </c>
      <c r="H385" t="str">
        <f>IFERROR(VLOOKUP(C385,Sheet4!B:C,2,0),"")</f>
        <v/>
      </c>
    </row>
    <row r="386" spans="1:8" x14ac:dyDescent="0.35">
      <c r="A386" s="4" t="s">
        <v>7</v>
      </c>
      <c r="B386" s="4" t="s">
        <v>8</v>
      </c>
      <c r="C386" s="31" t="s">
        <v>328</v>
      </c>
      <c r="D386" s="32" t="s">
        <v>193</v>
      </c>
      <c r="E386" s="5" t="s">
        <v>12</v>
      </c>
      <c r="F386" s="6">
        <v>77185.350000000006</v>
      </c>
      <c r="G386" s="6">
        <v>74387.41</v>
      </c>
      <c r="H386" t="str">
        <f>IFERROR(VLOOKUP(C386,Sheet4!B:C,2,0),"")</f>
        <v/>
      </c>
    </row>
    <row r="387" spans="1:8" x14ac:dyDescent="0.35">
      <c r="A387" s="4" t="s">
        <v>7</v>
      </c>
      <c r="B387" s="4" t="s">
        <v>8</v>
      </c>
      <c r="C387" s="26" t="s">
        <v>329</v>
      </c>
      <c r="D387" s="27" t="s">
        <v>191</v>
      </c>
      <c r="E387" s="5" t="s">
        <v>29</v>
      </c>
      <c r="F387" s="6">
        <v>6.4</v>
      </c>
      <c r="G387" s="6"/>
      <c r="H387" t="str">
        <f>IFERROR(VLOOKUP(C387,Sheet4!B:C,2,0),"")</f>
        <v/>
      </c>
    </row>
    <row r="388" spans="1:8" x14ac:dyDescent="0.35">
      <c r="A388" s="4" t="s">
        <v>7</v>
      </c>
      <c r="B388" s="4" t="s">
        <v>8</v>
      </c>
      <c r="C388" s="26" t="s">
        <v>329</v>
      </c>
      <c r="D388" s="27" t="s">
        <v>191</v>
      </c>
      <c r="E388" s="5" t="s">
        <v>10</v>
      </c>
      <c r="F388" s="6">
        <v>17710.97</v>
      </c>
      <c r="G388" s="6">
        <v>24097.14</v>
      </c>
      <c r="H388" t="str">
        <f>IFERROR(VLOOKUP(C388,Sheet4!B:C,2,0),"")</f>
        <v/>
      </c>
    </row>
    <row r="389" spans="1:8" x14ac:dyDescent="0.35">
      <c r="A389" s="4" t="s">
        <v>7</v>
      </c>
      <c r="B389" s="4" t="s">
        <v>8</v>
      </c>
      <c r="C389" s="26" t="s">
        <v>329</v>
      </c>
      <c r="D389" s="27" t="s">
        <v>191</v>
      </c>
      <c r="E389" s="5" t="s">
        <v>11</v>
      </c>
      <c r="F389" s="6">
        <v>44942.98</v>
      </c>
      <c r="G389" s="6">
        <v>27494.15</v>
      </c>
      <c r="H389" t="str">
        <f>IFERROR(VLOOKUP(C389,Sheet4!B:C,2,0),"")</f>
        <v/>
      </c>
    </row>
    <row r="390" spans="1:8" x14ac:dyDescent="0.35">
      <c r="A390" s="4" t="s">
        <v>7</v>
      </c>
      <c r="B390" s="4" t="s">
        <v>8</v>
      </c>
      <c r="C390" s="26" t="s">
        <v>329</v>
      </c>
      <c r="D390" s="27" t="s">
        <v>191</v>
      </c>
      <c r="E390" s="5" t="s">
        <v>12</v>
      </c>
      <c r="F390" s="6">
        <v>17910.04</v>
      </c>
      <c r="G390" s="6">
        <v>16979.509999999998</v>
      </c>
      <c r="H390" t="str">
        <f>IFERROR(VLOOKUP(C390,Sheet4!B:C,2,0),"")</f>
        <v/>
      </c>
    </row>
    <row r="391" spans="1:8" x14ac:dyDescent="0.35">
      <c r="A391" s="4" t="s">
        <v>7</v>
      </c>
      <c r="B391" s="4" t="s">
        <v>8</v>
      </c>
      <c r="C391" s="26" t="s">
        <v>330</v>
      </c>
      <c r="D391" s="27" t="s">
        <v>183</v>
      </c>
      <c r="E391" s="5" t="s">
        <v>29</v>
      </c>
      <c r="F391" s="6">
        <v>9066.33</v>
      </c>
      <c r="G391" s="6">
        <v>-4104.43</v>
      </c>
      <c r="H391" t="str">
        <f>IFERROR(VLOOKUP(C391,Sheet4!B:C,2,0),"")</f>
        <v/>
      </c>
    </row>
    <row r="392" spans="1:8" x14ac:dyDescent="0.35">
      <c r="A392" s="4" t="s">
        <v>7</v>
      </c>
      <c r="B392" s="4" t="s">
        <v>8</v>
      </c>
      <c r="C392" s="26" t="s">
        <v>330</v>
      </c>
      <c r="D392" s="27" t="s">
        <v>183</v>
      </c>
      <c r="E392" s="5" t="s">
        <v>10</v>
      </c>
      <c r="F392" s="6">
        <v>202562.57</v>
      </c>
      <c r="G392" s="6">
        <v>68593.98</v>
      </c>
      <c r="H392" t="str">
        <f>IFERROR(VLOOKUP(C392,Sheet4!B:C,2,0),"")</f>
        <v/>
      </c>
    </row>
    <row r="393" spans="1:8" x14ac:dyDescent="0.35">
      <c r="A393" s="4" t="s">
        <v>7</v>
      </c>
      <c r="B393" s="4" t="s">
        <v>8</v>
      </c>
      <c r="C393" s="26" t="s">
        <v>330</v>
      </c>
      <c r="D393" s="27" t="s">
        <v>183</v>
      </c>
      <c r="E393" s="5" t="s">
        <v>11</v>
      </c>
      <c r="F393" s="6">
        <v>77650.14</v>
      </c>
      <c r="G393" s="6">
        <v>-18234.75</v>
      </c>
      <c r="H393" t="str">
        <f>IFERROR(VLOOKUP(C393,Sheet4!B:C,2,0),"")</f>
        <v/>
      </c>
    </row>
    <row r="394" spans="1:8" x14ac:dyDescent="0.35">
      <c r="A394" s="4" t="s">
        <v>7</v>
      </c>
      <c r="B394" s="4" t="s">
        <v>8</v>
      </c>
      <c r="C394" s="26" t="s">
        <v>330</v>
      </c>
      <c r="D394" s="27" t="s">
        <v>183</v>
      </c>
      <c r="E394" s="5" t="s">
        <v>12</v>
      </c>
      <c r="F394" s="6">
        <v>34907.75</v>
      </c>
      <c r="G394" s="6">
        <v>12744.04</v>
      </c>
      <c r="H394" t="str">
        <f>IFERROR(VLOOKUP(C394,Sheet4!B:C,2,0),"")</f>
        <v/>
      </c>
    </row>
    <row r="395" spans="1:8" x14ac:dyDescent="0.35">
      <c r="A395" s="4" t="s">
        <v>7</v>
      </c>
      <c r="B395" s="4" t="s">
        <v>8</v>
      </c>
      <c r="C395" s="26" t="s">
        <v>331</v>
      </c>
      <c r="D395" s="27" t="s">
        <v>144</v>
      </c>
      <c r="E395" s="5" t="s">
        <v>29</v>
      </c>
      <c r="F395" s="6">
        <v>3031.33</v>
      </c>
      <c r="G395" s="6">
        <v>1286.57</v>
      </c>
      <c r="H395" t="str">
        <f>IFERROR(VLOOKUP(C395,Sheet4!B:C,2,0),"")</f>
        <v/>
      </c>
    </row>
    <row r="396" spans="1:8" x14ac:dyDescent="0.35">
      <c r="A396" s="4" t="s">
        <v>7</v>
      </c>
      <c r="B396" s="4" t="s">
        <v>8</v>
      </c>
      <c r="C396" s="26" t="s">
        <v>331</v>
      </c>
      <c r="D396" s="27" t="s">
        <v>144</v>
      </c>
      <c r="E396" s="5" t="s">
        <v>10</v>
      </c>
      <c r="F396" s="6">
        <v>186385.57</v>
      </c>
      <c r="G396" s="6">
        <v>87519.01</v>
      </c>
      <c r="H396" t="str">
        <f>IFERROR(VLOOKUP(C396,Sheet4!B:C,2,0),"")</f>
        <v/>
      </c>
    </row>
    <row r="397" spans="1:8" x14ac:dyDescent="0.35">
      <c r="A397" s="4" t="s">
        <v>7</v>
      </c>
      <c r="B397" s="4" t="s">
        <v>8</v>
      </c>
      <c r="C397" s="26" t="s">
        <v>331</v>
      </c>
      <c r="D397" s="27" t="s">
        <v>144</v>
      </c>
      <c r="E397" s="5" t="s">
        <v>11</v>
      </c>
      <c r="F397" s="6">
        <v>47643.14</v>
      </c>
      <c r="G397" s="6">
        <v>19260.63</v>
      </c>
      <c r="H397" t="str">
        <f>IFERROR(VLOOKUP(C397,Sheet4!B:C,2,0),"")</f>
        <v/>
      </c>
    </row>
    <row r="398" spans="1:8" x14ac:dyDescent="0.35">
      <c r="A398" s="4" t="s">
        <v>7</v>
      </c>
      <c r="B398" s="4" t="s">
        <v>8</v>
      </c>
      <c r="C398" s="26" t="s">
        <v>331</v>
      </c>
      <c r="D398" s="27" t="s">
        <v>144</v>
      </c>
      <c r="E398" s="5" t="s">
        <v>12</v>
      </c>
      <c r="F398" s="6">
        <v>8566.75</v>
      </c>
      <c r="G398" s="6">
        <v>4128.04</v>
      </c>
      <c r="H398" t="str">
        <f>IFERROR(VLOOKUP(C398,Sheet4!B:C,2,0),"")</f>
        <v/>
      </c>
    </row>
    <row r="399" spans="1:8" x14ac:dyDescent="0.35">
      <c r="A399" s="4" t="s">
        <v>7</v>
      </c>
      <c r="B399" s="4" t="s">
        <v>8</v>
      </c>
      <c r="C399" s="26" t="s">
        <v>332</v>
      </c>
      <c r="D399" s="27" t="s">
        <v>145</v>
      </c>
      <c r="E399" s="5" t="s">
        <v>29</v>
      </c>
      <c r="F399" s="6">
        <v>6035</v>
      </c>
      <c r="G399" s="6">
        <v>-5391</v>
      </c>
      <c r="H399" t="str">
        <f>IFERROR(VLOOKUP(C399,Sheet4!B:C,2,0),"")</f>
        <v/>
      </c>
    </row>
    <row r="400" spans="1:8" x14ac:dyDescent="0.35">
      <c r="A400" s="4" t="s">
        <v>7</v>
      </c>
      <c r="B400" s="4" t="s">
        <v>8</v>
      </c>
      <c r="C400" s="26" t="s">
        <v>332</v>
      </c>
      <c r="D400" s="27" t="s">
        <v>145</v>
      </c>
      <c r="E400" s="5" t="s">
        <v>10</v>
      </c>
      <c r="F400" s="6">
        <v>16177</v>
      </c>
      <c r="G400" s="6">
        <v>-18925.03</v>
      </c>
      <c r="H400" t="str">
        <f>IFERROR(VLOOKUP(C400,Sheet4!B:C,2,0),"")</f>
        <v/>
      </c>
    </row>
    <row r="401" spans="1:8" x14ac:dyDescent="0.35">
      <c r="A401" s="4" t="s">
        <v>7</v>
      </c>
      <c r="B401" s="4" t="s">
        <v>8</v>
      </c>
      <c r="C401" s="30" t="s">
        <v>332</v>
      </c>
      <c r="D401" s="29" t="s">
        <v>145</v>
      </c>
      <c r="E401" s="5" t="s">
        <v>11</v>
      </c>
      <c r="F401" s="6">
        <v>30007</v>
      </c>
      <c r="G401" s="6">
        <v>-37495.379999999997</v>
      </c>
      <c r="H401" t="str">
        <f>IFERROR(VLOOKUP(C401,Sheet4!B:C,2,0),"")</f>
        <v/>
      </c>
    </row>
    <row r="402" spans="1:8" x14ac:dyDescent="0.35">
      <c r="A402" s="4" t="s">
        <v>7</v>
      </c>
      <c r="B402" s="4" t="s">
        <v>8</v>
      </c>
      <c r="C402" s="30" t="s">
        <v>332</v>
      </c>
      <c r="D402" s="29" t="s">
        <v>145</v>
      </c>
      <c r="E402" s="5" t="s">
        <v>12</v>
      </c>
      <c r="F402" s="6">
        <v>26341</v>
      </c>
      <c r="G402" s="6">
        <v>8616</v>
      </c>
      <c r="H402" t="str">
        <f>IFERROR(VLOOKUP(C402,Sheet4!B:C,2,0),"")</f>
        <v/>
      </c>
    </row>
    <row r="403" spans="1:8" x14ac:dyDescent="0.35">
      <c r="A403" s="4" t="s">
        <v>7</v>
      </c>
      <c r="B403" s="4" t="s">
        <v>8</v>
      </c>
      <c r="C403" s="30" t="s">
        <v>333</v>
      </c>
      <c r="D403" s="29" t="s">
        <v>185</v>
      </c>
      <c r="E403" s="5" t="s">
        <v>29</v>
      </c>
      <c r="F403" s="6">
        <v>2390.27</v>
      </c>
      <c r="G403" s="6">
        <v>1522.1</v>
      </c>
      <c r="H403" t="str">
        <f>IFERROR(VLOOKUP(C403,Sheet4!B:C,2,0),"")</f>
        <v/>
      </c>
    </row>
    <row r="404" spans="1:8" x14ac:dyDescent="0.35">
      <c r="A404" s="4" t="s">
        <v>7</v>
      </c>
      <c r="B404" s="4" t="s">
        <v>8</v>
      </c>
      <c r="C404" s="30" t="s">
        <v>333</v>
      </c>
      <c r="D404" s="29" t="s">
        <v>185</v>
      </c>
      <c r="E404" s="5" t="s">
        <v>10</v>
      </c>
      <c r="F404" s="6">
        <v>231004.14</v>
      </c>
      <c r="G404" s="6">
        <v>148619.29</v>
      </c>
      <c r="H404" t="str">
        <f>IFERROR(VLOOKUP(C404,Sheet4!B:C,2,0),"")</f>
        <v/>
      </c>
    </row>
    <row r="405" spans="1:8" x14ac:dyDescent="0.35">
      <c r="A405" s="4" t="s">
        <v>7</v>
      </c>
      <c r="B405" s="4" t="s">
        <v>8</v>
      </c>
      <c r="C405" s="30" t="s">
        <v>333</v>
      </c>
      <c r="D405" s="29" t="s">
        <v>185</v>
      </c>
      <c r="E405" s="5" t="s">
        <v>11</v>
      </c>
      <c r="F405" s="6">
        <v>1170391.17</v>
      </c>
      <c r="G405" s="6">
        <v>946469.66</v>
      </c>
      <c r="H405" t="str">
        <f>IFERROR(VLOOKUP(C405,Sheet4!B:C,2,0),"")</f>
        <v/>
      </c>
    </row>
    <row r="406" spans="1:8" x14ac:dyDescent="0.35">
      <c r="A406" s="4" t="s">
        <v>7</v>
      </c>
      <c r="B406" s="4" t="s">
        <v>8</v>
      </c>
      <c r="C406" s="30" t="s">
        <v>333</v>
      </c>
      <c r="D406" s="29" t="s">
        <v>185</v>
      </c>
      <c r="E406" s="5" t="s">
        <v>12</v>
      </c>
      <c r="F406" s="6"/>
      <c r="G406" s="6">
        <v>0</v>
      </c>
      <c r="H406" t="str">
        <f>IFERROR(VLOOKUP(C406,Sheet4!B:C,2,0),"")</f>
        <v/>
      </c>
    </row>
    <row r="407" spans="1:8" x14ac:dyDescent="0.35">
      <c r="A407" s="4" t="s">
        <v>7</v>
      </c>
      <c r="B407" s="4" t="s">
        <v>8</v>
      </c>
      <c r="C407" s="30" t="s">
        <v>334</v>
      </c>
      <c r="D407" s="29" t="s">
        <v>146</v>
      </c>
      <c r="E407" s="5" t="s">
        <v>29</v>
      </c>
      <c r="F407" s="6">
        <v>2390.27</v>
      </c>
      <c r="G407" s="6">
        <v>1522.1</v>
      </c>
      <c r="H407" t="str">
        <f>IFERROR(VLOOKUP(C407,Sheet4!B:C,2,0),"")</f>
        <v/>
      </c>
    </row>
    <row r="408" spans="1:8" x14ac:dyDescent="0.35">
      <c r="A408" s="4" t="s">
        <v>7</v>
      </c>
      <c r="B408" s="4" t="s">
        <v>8</v>
      </c>
      <c r="C408" s="30" t="s">
        <v>334</v>
      </c>
      <c r="D408" s="29" t="s">
        <v>146</v>
      </c>
      <c r="E408" s="5" t="s">
        <v>10</v>
      </c>
      <c r="F408" s="6">
        <v>207053.97</v>
      </c>
      <c r="G408" s="6">
        <v>148619.29</v>
      </c>
      <c r="H408" t="str">
        <f>IFERROR(VLOOKUP(C408,Sheet4!B:C,2,0),"")</f>
        <v/>
      </c>
    </row>
    <row r="409" spans="1:8" x14ac:dyDescent="0.35">
      <c r="A409" s="4" t="s">
        <v>7</v>
      </c>
      <c r="B409" s="4" t="s">
        <v>8</v>
      </c>
      <c r="C409" s="30" t="s">
        <v>334</v>
      </c>
      <c r="D409" s="29" t="s">
        <v>146</v>
      </c>
      <c r="E409" s="5" t="s">
        <v>11</v>
      </c>
      <c r="F409" s="6">
        <v>1027291.34</v>
      </c>
      <c r="G409" s="6">
        <v>749779.65</v>
      </c>
      <c r="H409" t="str">
        <f>IFERROR(VLOOKUP(C409,Sheet4!B:C,2,0),"")</f>
        <v/>
      </c>
    </row>
    <row r="410" spans="1:8" x14ac:dyDescent="0.35">
      <c r="A410" s="4" t="s">
        <v>7</v>
      </c>
      <c r="B410" s="4" t="s">
        <v>8</v>
      </c>
      <c r="C410" s="30" t="s">
        <v>334</v>
      </c>
      <c r="D410" s="29" t="s">
        <v>146</v>
      </c>
      <c r="E410" s="5" t="s">
        <v>12</v>
      </c>
      <c r="F410" s="6"/>
      <c r="G410" s="6">
        <v>0</v>
      </c>
      <c r="H410" t="str">
        <f>IFERROR(VLOOKUP(C410,Sheet4!B:C,2,0),"")</f>
        <v/>
      </c>
    </row>
    <row r="411" spans="1:8" x14ac:dyDescent="0.35">
      <c r="A411" s="4" t="s">
        <v>7</v>
      </c>
      <c r="B411" s="4" t="s">
        <v>8</v>
      </c>
      <c r="C411" s="26" t="s">
        <v>335</v>
      </c>
      <c r="D411" s="27" t="s">
        <v>147</v>
      </c>
      <c r="E411" s="5" t="s">
        <v>10</v>
      </c>
      <c r="F411" s="6">
        <v>23950.17</v>
      </c>
      <c r="G411" s="6"/>
      <c r="H411" t="str">
        <f>IFERROR(VLOOKUP(C411,Sheet4!B:C,2,0),"")</f>
        <v/>
      </c>
    </row>
    <row r="412" spans="1:8" x14ac:dyDescent="0.35">
      <c r="A412" s="4" t="s">
        <v>7</v>
      </c>
      <c r="B412" s="4" t="s">
        <v>8</v>
      </c>
      <c r="C412" s="26" t="s">
        <v>335</v>
      </c>
      <c r="D412" s="27" t="s">
        <v>147</v>
      </c>
      <c r="E412" s="5" t="s">
        <v>11</v>
      </c>
      <c r="F412" s="6">
        <v>143099.82999999999</v>
      </c>
      <c r="G412" s="6">
        <v>196690.01</v>
      </c>
      <c r="H412" t="str">
        <f>IFERROR(VLOOKUP(C412,Sheet4!B:C,2,0),"")</f>
        <v/>
      </c>
    </row>
    <row r="413" spans="1:8" x14ac:dyDescent="0.35">
      <c r="A413" s="4" t="s">
        <v>7</v>
      </c>
      <c r="B413" s="4" t="s">
        <v>8</v>
      </c>
      <c r="C413" s="26" t="s">
        <v>336</v>
      </c>
      <c r="D413" s="27" t="s">
        <v>195</v>
      </c>
      <c r="E413" s="5" t="s">
        <v>29</v>
      </c>
      <c r="F413" s="6">
        <v>6.49</v>
      </c>
      <c r="G413" s="6">
        <v>-6648.65</v>
      </c>
      <c r="H413" t="str">
        <f>IFERROR(VLOOKUP(C413,Sheet4!B:C,2,0),"")</f>
        <v/>
      </c>
    </row>
    <row r="414" spans="1:8" x14ac:dyDescent="0.35">
      <c r="A414" s="4" t="s">
        <v>7</v>
      </c>
      <c r="B414" s="4" t="s">
        <v>8</v>
      </c>
      <c r="C414" s="26" t="s">
        <v>336</v>
      </c>
      <c r="D414" s="27" t="s">
        <v>195</v>
      </c>
      <c r="E414" s="5" t="s">
        <v>10</v>
      </c>
      <c r="F414" s="6">
        <v>366851.63</v>
      </c>
      <c r="G414" s="6">
        <v>275155.52</v>
      </c>
      <c r="H414" t="str">
        <f>IFERROR(VLOOKUP(C414,Sheet4!B:C,2,0),"")</f>
        <v/>
      </c>
    </row>
    <row r="415" spans="1:8" x14ac:dyDescent="0.35">
      <c r="A415" s="4" t="s">
        <v>7</v>
      </c>
      <c r="B415" s="4" t="s">
        <v>8</v>
      </c>
      <c r="C415" s="5" t="s">
        <v>336</v>
      </c>
      <c r="D415" s="3" t="s">
        <v>195</v>
      </c>
      <c r="E415" s="5" t="s">
        <v>11</v>
      </c>
      <c r="F415" s="6">
        <v>336299.34</v>
      </c>
      <c r="G415" s="6">
        <v>273188.40999999997</v>
      </c>
      <c r="H415" t="str">
        <f>IFERROR(VLOOKUP(C415,Sheet4!B:C,2,0),"")</f>
        <v/>
      </c>
    </row>
    <row r="416" spans="1:8" x14ac:dyDescent="0.35">
      <c r="A416" s="4" t="s">
        <v>7</v>
      </c>
      <c r="B416" s="4" t="s">
        <v>8</v>
      </c>
      <c r="C416" s="5" t="s">
        <v>336</v>
      </c>
      <c r="D416" s="3" t="s">
        <v>195</v>
      </c>
      <c r="E416" s="5" t="s">
        <v>30</v>
      </c>
      <c r="F416" s="6"/>
      <c r="G416" s="6"/>
      <c r="H416" t="str">
        <f>IFERROR(VLOOKUP(C416,Sheet4!B:C,2,0),"")</f>
        <v/>
      </c>
    </row>
    <row r="417" spans="1:8" x14ac:dyDescent="0.35">
      <c r="A417" s="4" t="s">
        <v>7</v>
      </c>
      <c r="B417" s="4" t="s">
        <v>8</v>
      </c>
      <c r="C417" s="5" t="s">
        <v>336</v>
      </c>
      <c r="D417" s="3" t="s">
        <v>195</v>
      </c>
      <c r="E417" s="5" t="s">
        <v>12</v>
      </c>
      <c r="F417" s="6">
        <v>5066.12</v>
      </c>
      <c r="G417" s="6">
        <v>-39646.879999999997</v>
      </c>
      <c r="H417" t="str">
        <f>IFERROR(VLOOKUP(C417,Sheet4!B:C,2,0),"")</f>
        <v/>
      </c>
    </row>
    <row r="418" spans="1:8" x14ac:dyDescent="0.35">
      <c r="A418" s="34" t="s">
        <v>7</v>
      </c>
      <c r="B418" s="34" t="s">
        <v>8</v>
      </c>
      <c r="C418" s="34" t="s">
        <v>221</v>
      </c>
      <c r="D418" s="34" t="s">
        <v>28</v>
      </c>
      <c r="E418" s="34" t="s">
        <v>12</v>
      </c>
      <c r="F418" s="35">
        <v>2087.88</v>
      </c>
      <c r="G418" s="35">
        <v>-43917.16</v>
      </c>
      <c r="H418" t="str">
        <f>IFERROR(VLOOKUP(C418,Sheet4!B:C,2,0),"")</f>
        <v/>
      </c>
    </row>
    <row r="419" spans="1:8" x14ac:dyDescent="0.35">
      <c r="A419" s="34" t="s">
        <v>7</v>
      </c>
      <c r="B419" s="34" t="s">
        <v>8</v>
      </c>
      <c r="C419" s="34" t="s">
        <v>222</v>
      </c>
      <c r="D419" s="34" t="s">
        <v>31</v>
      </c>
      <c r="E419" s="34" t="s">
        <v>29</v>
      </c>
      <c r="F419" s="35">
        <v>-912.71</v>
      </c>
      <c r="G419" s="35">
        <v>-3886.16</v>
      </c>
      <c r="H419" t="str">
        <f>IFERROR(VLOOKUP(C419,Sheet4!B:C,2,0),"")</f>
        <v/>
      </c>
    </row>
    <row r="420" spans="1:8" x14ac:dyDescent="0.35">
      <c r="A420" s="34" t="s">
        <v>7</v>
      </c>
      <c r="B420" s="34" t="s">
        <v>8</v>
      </c>
      <c r="C420" s="34" t="s">
        <v>222</v>
      </c>
      <c r="D420" s="34" t="s">
        <v>31</v>
      </c>
      <c r="E420" s="34" t="s">
        <v>10</v>
      </c>
      <c r="F420" s="35">
        <v>178575.44</v>
      </c>
      <c r="G420" s="35">
        <v>140674.9</v>
      </c>
      <c r="H420" t="str">
        <f>IFERROR(VLOOKUP(C420,Sheet4!B:C,2,0),"")</f>
        <v/>
      </c>
    </row>
    <row r="421" spans="1:8" x14ac:dyDescent="0.35">
      <c r="A421" s="34" t="s">
        <v>7</v>
      </c>
      <c r="B421" s="34" t="s">
        <v>8</v>
      </c>
      <c r="C421" s="34" t="s">
        <v>222</v>
      </c>
      <c r="D421" s="34" t="s">
        <v>31</v>
      </c>
      <c r="E421" s="34" t="s">
        <v>11</v>
      </c>
      <c r="F421" s="35">
        <v>106643.26</v>
      </c>
      <c r="G421" s="35">
        <v>82613.08</v>
      </c>
      <c r="H421" t="str">
        <f>IFERROR(VLOOKUP(C421,Sheet4!B:C,2,0),"")</f>
        <v/>
      </c>
    </row>
    <row r="422" spans="1:8" x14ac:dyDescent="0.35">
      <c r="A422" s="34" t="s">
        <v>7</v>
      </c>
      <c r="B422" s="34" t="s">
        <v>8</v>
      </c>
      <c r="C422" s="34" t="s">
        <v>222</v>
      </c>
      <c r="D422" s="34" t="s">
        <v>31</v>
      </c>
      <c r="E422" s="34" t="s">
        <v>12</v>
      </c>
      <c r="F422" s="35">
        <v>0</v>
      </c>
      <c r="G422" s="35">
        <v>883.42</v>
      </c>
      <c r="H422" t="str">
        <f>IFERROR(VLOOKUP(C422,Sheet4!B:C,2,0),"")</f>
        <v/>
      </c>
    </row>
    <row r="423" spans="1:8" x14ac:dyDescent="0.35">
      <c r="A423" s="34" t="s">
        <v>7</v>
      </c>
      <c r="B423" s="34" t="s">
        <v>8</v>
      </c>
      <c r="C423" s="34" t="s">
        <v>223</v>
      </c>
      <c r="D423" s="34" t="s">
        <v>32</v>
      </c>
      <c r="E423" s="34" t="s">
        <v>29</v>
      </c>
      <c r="F423" s="35">
        <v>2437.2800000000002</v>
      </c>
      <c r="G423" s="35">
        <v>-2953.35</v>
      </c>
      <c r="H423" t="str">
        <f>IFERROR(VLOOKUP(C423,Sheet4!B:C,2,0),"")</f>
        <v/>
      </c>
    </row>
    <row r="424" spans="1:8" x14ac:dyDescent="0.35">
      <c r="A424" s="34" t="s">
        <v>7</v>
      </c>
      <c r="B424" s="34" t="s">
        <v>8</v>
      </c>
      <c r="C424" s="34" t="s">
        <v>223</v>
      </c>
      <c r="D424" s="34" t="s">
        <v>32</v>
      </c>
      <c r="E424" s="34" t="s">
        <v>10</v>
      </c>
      <c r="F424" s="35">
        <v>62747.91</v>
      </c>
      <c r="G424" s="35">
        <v>45245.279999999999</v>
      </c>
      <c r="H424" t="str">
        <f>IFERROR(VLOOKUP(C424,Sheet4!B:C,2,0),"")</f>
        <v/>
      </c>
    </row>
    <row r="425" spans="1:8" x14ac:dyDescent="0.35">
      <c r="A425" s="34" t="s">
        <v>7</v>
      </c>
      <c r="B425" s="34" t="s">
        <v>8</v>
      </c>
      <c r="C425" s="34" t="s">
        <v>223</v>
      </c>
      <c r="D425" s="34" t="s">
        <v>32</v>
      </c>
      <c r="E425" s="34" t="s">
        <v>11</v>
      </c>
      <c r="F425" s="35">
        <v>98423.03</v>
      </c>
      <c r="G425" s="35">
        <v>82656.88</v>
      </c>
      <c r="H425" t="str">
        <f>IFERROR(VLOOKUP(C425,Sheet4!B:C,2,0),"")</f>
        <v/>
      </c>
    </row>
    <row r="426" spans="1:8" x14ac:dyDescent="0.35">
      <c r="A426" s="34" t="s">
        <v>7</v>
      </c>
      <c r="B426" s="34" t="s">
        <v>8</v>
      </c>
      <c r="C426" s="34" t="s">
        <v>223</v>
      </c>
      <c r="D426" s="34" t="s">
        <v>32</v>
      </c>
      <c r="E426" s="34" t="s">
        <v>12</v>
      </c>
      <c r="F426" s="35">
        <v>1587.13</v>
      </c>
      <c r="G426" s="35">
        <v>529.91999999999996</v>
      </c>
      <c r="H426" t="str">
        <f>IFERROR(VLOOKUP(C426,Sheet4!B:C,2,0),"")</f>
        <v/>
      </c>
    </row>
    <row r="427" spans="1:8" x14ac:dyDescent="0.35">
      <c r="A427" s="34" t="s">
        <v>7</v>
      </c>
      <c r="B427" s="34" t="s">
        <v>8</v>
      </c>
      <c r="C427" s="34" t="s">
        <v>224</v>
      </c>
      <c r="D427" s="34" t="s">
        <v>33</v>
      </c>
      <c r="E427" s="34" t="s">
        <v>29</v>
      </c>
      <c r="F427" s="35">
        <v>20.27</v>
      </c>
      <c r="G427" s="35">
        <v>-9.7799999999999994</v>
      </c>
      <c r="H427" t="str">
        <f>IFERROR(VLOOKUP(C427,Sheet4!B:C,2,0),"")</f>
        <v/>
      </c>
    </row>
    <row r="428" spans="1:8" x14ac:dyDescent="0.35">
      <c r="A428" s="34" t="s">
        <v>7</v>
      </c>
      <c r="B428" s="34" t="s">
        <v>8</v>
      </c>
      <c r="C428" s="34" t="s">
        <v>224</v>
      </c>
      <c r="D428" s="34" t="s">
        <v>33</v>
      </c>
      <c r="E428" s="34" t="s">
        <v>10</v>
      </c>
      <c r="F428" s="35">
        <v>11446.61</v>
      </c>
      <c r="G428" s="35">
        <v>14244.06</v>
      </c>
      <c r="H428" t="str">
        <f>IFERROR(VLOOKUP(C428,Sheet4!B:C,2,0),"")</f>
        <v/>
      </c>
    </row>
    <row r="429" spans="1:8" x14ac:dyDescent="0.35">
      <c r="A429" s="34" t="s">
        <v>7</v>
      </c>
      <c r="B429" s="34" t="s">
        <v>8</v>
      </c>
      <c r="C429" s="34" t="s">
        <v>224</v>
      </c>
      <c r="D429" s="34" t="s">
        <v>33</v>
      </c>
      <c r="E429" s="34" t="s">
        <v>11</v>
      </c>
      <c r="F429" s="35">
        <v>17610.689999999999</v>
      </c>
      <c r="G429" s="35">
        <v>13058.08</v>
      </c>
      <c r="H429" t="str">
        <f>IFERROR(VLOOKUP(C429,Sheet4!B:C,2,0),"")</f>
        <v/>
      </c>
    </row>
    <row r="430" spans="1:8" x14ac:dyDescent="0.35">
      <c r="A430" s="34" t="s">
        <v>7</v>
      </c>
      <c r="B430" s="34" t="s">
        <v>8</v>
      </c>
      <c r="C430" s="34" t="s">
        <v>224</v>
      </c>
      <c r="D430" s="34" t="s">
        <v>33</v>
      </c>
      <c r="E430" s="34" t="s">
        <v>12</v>
      </c>
      <c r="F430" s="35">
        <v>75.27</v>
      </c>
      <c r="G430" s="35">
        <v>323</v>
      </c>
      <c r="H430" t="str">
        <f>IFERROR(VLOOKUP(C430,Sheet4!B:C,2,0),"")</f>
        <v/>
      </c>
    </row>
    <row r="431" spans="1:8" x14ac:dyDescent="0.35">
      <c r="A431" s="34" t="s">
        <v>7</v>
      </c>
      <c r="B431" s="34" t="s">
        <v>8</v>
      </c>
      <c r="C431" s="34" t="s">
        <v>225</v>
      </c>
      <c r="D431" s="34" t="s">
        <v>34</v>
      </c>
      <c r="E431" s="34" t="s">
        <v>29</v>
      </c>
      <c r="F431" s="35">
        <v>268.45999999999998</v>
      </c>
      <c r="G431" s="35">
        <v>353.08</v>
      </c>
      <c r="H431" t="str">
        <f>IFERROR(VLOOKUP(C431,Sheet4!B:C,2,0),"")</f>
        <v/>
      </c>
    </row>
    <row r="432" spans="1:8" x14ac:dyDescent="0.35">
      <c r="A432" s="34" t="s">
        <v>7</v>
      </c>
      <c r="B432" s="34" t="s">
        <v>8</v>
      </c>
      <c r="C432" s="34" t="s">
        <v>225</v>
      </c>
      <c r="D432" s="34" t="s">
        <v>34</v>
      </c>
      <c r="E432" s="34" t="s">
        <v>10</v>
      </c>
      <c r="F432" s="35">
        <v>13862.97</v>
      </c>
      <c r="G432" s="35">
        <v>16251.28</v>
      </c>
      <c r="H432" t="str">
        <f>IFERROR(VLOOKUP(C432,Sheet4!B:C,2,0),"")</f>
        <v/>
      </c>
    </row>
    <row r="433" spans="1:8" x14ac:dyDescent="0.35">
      <c r="A433" s="34" t="s">
        <v>7</v>
      </c>
      <c r="B433" s="34" t="s">
        <v>8</v>
      </c>
      <c r="C433" s="34" t="s">
        <v>225</v>
      </c>
      <c r="D433" s="34" t="s">
        <v>34</v>
      </c>
      <c r="E433" s="34" t="s">
        <v>11</v>
      </c>
      <c r="F433" s="35">
        <v>9265.5300000000007</v>
      </c>
      <c r="G433" s="35">
        <v>14959.72</v>
      </c>
      <c r="H433" t="str">
        <f>IFERROR(VLOOKUP(C433,Sheet4!B:C,2,0),"")</f>
        <v/>
      </c>
    </row>
    <row r="434" spans="1:8" x14ac:dyDescent="0.35">
      <c r="A434" s="34" t="s">
        <v>7</v>
      </c>
      <c r="B434" s="34" t="s">
        <v>8</v>
      </c>
      <c r="C434" s="34" t="s">
        <v>226</v>
      </c>
      <c r="D434" s="34" t="s">
        <v>35</v>
      </c>
      <c r="E434" s="34" t="s">
        <v>10</v>
      </c>
      <c r="F434" s="35">
        <v>707.7</v>
      </c>
      <c r="G434" s="35">
        <v>115.24</v>
      </c>
      <c r="H434" t="str">
        <f>IFERROR(VLOOKUP(C434,Sheet4!B:C,2,0),"")</f>
        <v/>
      </c>
    </row>
    <row r="435" spans="1:8" x14ac:dyDescent="0.35">
      <c r="A435" s="34" t="s">
        <v>7</v>
      </c>
      <c r="B435" s="34" t="s">
        <v>8</v>
      </c>
      <c r="C435" s="34" t="s">
        <v>226</v>
      </c>
      <c r="D435" s="34" t="s">
        <v>35</v>
      </c>
      <c r="E435" s="34" t="s">
        <v>11</v>
      </c>
      <c r="F435" s="35">
        <v>1201.2</v>
      </c>
      <c r="G435" s="35">
        <v>3687.68</v>
      </c>
      <c r="H435" t="str">
        <f>IFERROR(VLOOKUP(C435,Sheet4!B:C,2,0),"")</f>
        <v/>
      </c>
    </row>
    <row r="436" spans="1:8" x14ac:dyDescent="0.35">
      <c r="A436" s="34" t="s">
        <v>7</v>
      </c>
      <c r="B436" s="34" t="s">
        <v>8</v>
      </c>
      <c r="C436" s="34" t="s">
        <v>227</v>
      </c>
      <c r="D436" s="34" t="s">
        <v>36</v>
      </c>
      <c r="E436" s="34" t="s">
        <v>10</v>
      </c>
      <c r="F436" s="35">
        <v>3138.34</v>
      </c>
      <c r="G436" s="35">
        <v>328.58</v>
      </c>
      <c r="H436" t="str">
        <f>IFERROR(VLOOKUP(C436,Sheet4!B:C,2,0),"")</f>
        <v/>
      </c>
    </row>
    <row r="437" spans="1:8" x14ac:dyDescent="0.35">
      <c r="A437" s="34" t="s">
        <v>7</v>
      </c>
      <c r="B437" s="34" t="s">
        <v>8</v>
      </c>
      <c r="C437" s="34" t="s">
        <v>227</v>
      </c>
      <c r="D437" s="34" t="s">
        <v>36</v>
      </c>
      <c r="E437" s="34" t="s">
        <v>11</v>
      </c>
      <c r="F437" s="35">
        <v>33063.49</v>
      </c>
      <c r="G437" s="35">
        <v>21371.8</v>
      </c>
      <c r="H437" t="str">
        <f>IFERROR(VLOOKUP(C437,Sheet4!B:C,2,0),"")</f>
        <v/>
      </c>
    </row>
    <row r="438" spans="1:8" x14ac:dyDescent="0.35">
      <c r="A438" s="34" t="s">
        <v>7</v>
      </c>
      <c r="B438" s="34" t="s">
        <v>8</v>
      </c>
      <c r="C438" s="34" t="s">
        <v>227</v>
      </c>
      <c r="D438" s="34" t="s">
        <v>36</v>
      </c>
      <c r="E438" s="34" t="s">
        <v>12</v>
      </c>
      <c r="F438" s="35"/>
      <c r="G438" s="35">
        <v>2500</v>
      </c>
      <c r="H438" t="str">
        <f>IFERROR(VLOOKUP(C438,Sheet4!B:C,2,0),"")</f>
        <v/>
      </c>
    </row>
    <row r="439" spans="1:8" x14ac:dyDescent="0.35">
      <c r="A439" s="34" t="s">
        <v>7</v>
      </c>
      <c r="B439" s="34" t="s">
        <v>8</v>
      </c>
      <c r="C439" s="34" t="s">
        <v>228</v>
      </c>
      <c r="D439" s="34" t="s">
        <v>37</v>
      </c>
      <c r="E439" s="34" t="s">
        <v>29</v>
      </c>
      <c r="F439" s="35">
        <v>-790.47</v>
      </c>
      <c r="G439" s="35">
        <v>-38.4</v>
      </c>
      <c r="H439" t="str">
        <f>IFERROR(VLOOKUP(C439,Sheet4!B:C,2,0),"")</f>
        <v/>
      </c>
    </row>
    <row r="440" spans="1:8" x14ac:dyDescent="0.35">
      <c r="A440" s="34" t="s">
        <v>7</v>
      </c>
      <c r="B440" s="34" t="s">
        <v>8</v>
      </c>
      <c r="C440" s="34" t="s">
        <v>228</v>
      </c>
      <c r="D440" s="34" t="s">
        <v>37</v>
      </c>
      <c r="E440" s="34" t="s">
        <v>10</v>
      </c>
      <c r="F440" s="35">
        <v>2028.07</v>
      </c>
      <c r="G440" s="35">
        <v>1612.11</v>
      </c>
      <c r="H440" t="str">
        <f>IFERROR(VLOOKUP(C440,Sheet4!B:C,2,0),"")</f>
        <v/>
      </c>
    </row>
    <row r="441" spans="1:8" x14ac:dyDescent="0.35">
      <c r="A441" s="34" t="s">
        <v>7</v>
      </c>
      <c r="B441" s="34" t="s">
        <v>8</v>
      </c>
      <c r="C441" s="34" t="s">
        <v>228</v>
      </c>
      <c r="D441" s="34" t="s">
        <v>37</v>
      </c>
      <c r="E441" s="34" t="s">
        <v>11</v>
      </c>
      <c r="F441" s="35">
        <v>-10894.9</v>
      </c>
      <c r="G441" s="35">
        <v>-3897.99</v>
      </c>
      <c r="H441" t="str">
        <f>IFERROR(VLOOKUP(C441,Sheet4!B:C,2,0),"")</f>
        <v/>
      </c>
    </row>
    <row r="442" spans="1:8" x14ac:dyDescent="0.35">
      <c r="A442" s="34" t="s">
        <v>7</v>
      </c>
      <c r="B442" s="34" t="s">
        <v>8</v>
      </c>
      <c r="C442" s="34" t="s">
        <v>228</v>
      </c>
      <c r="D442" s="34" t="s">
        <v>37</v>
      </c>
      <c r="E442" s="34" t="s">
        <v>12</v>
      </c>
      <c r="F442" s="35">
        <v>1315.84</v>
      </c>
      <c r="G442" s="35">
        <v>33.94</v>
      </c>
      <c r="H442" t="str">
        <f>IFERROR(VLOOKUP(C442,Sheet4!B:C,2,0),"")</f>
        <v/>
      </c>
    </row>
    <row r="443" spans="1:8" x14ac:dyDescent="0.35">
      <c r="A443" s="34" t="s">
        <v>7</v>
      </c>
      <c r="B443" s="34" t="s">
        <v>8</v>
      </c>
      <c r="C443" s="34" t="s">
        <v>337</v>
      </c>
      <c r="D443" s="34" t="s">
        <v>338</v>
      </c>
      <c r="E443" s="34" t="s">
        <v>11</v>
      </c>
      <c r="F443" s="35">
        <v>129585</v>
      </c>
      <c r="G443" s="35">
        <v>96293.33</v>
      </c>
      <c r="H443" t="str">
        <f>IFERROR(VLOOKUP(C443,Sheet4!B:C,2,0),"")</f>
        <v/>
      </c>
    </row>
    <row r="444" spans="1:8" x14ac:dyDescent="0.35">
      <c r="A444" s="34" t="s">
        <v>7</v>
      </c>
      <c r="B444" s="34" t="s">
        <v>8</v>
      </c>
      <c r="C444" s="34" t="s">
        <v>148</v>
      </c>
      <c r="D444" s="34" t="s">
        <v>149</v>
      </c>
      <c r="E444" s="34" t="s">
        <v>11</v>
      </c>
      <c r="F444" s="35">
        <v>129585</v>
      </c>
      <c r="G444" s="35">
        <v>96293.33</v>
      </c>
      <c r="H444" t="str">
        <f>IFERROR(VLOOKUP(C444,Sheet4!B:C,2,0),"")</f>
        <v>Agent Commissions / Dealer Programs</v>
      </c>
    </row>
    <row r="445" spans="1:8" x14ac:dyDescent="0.35">
      <c r="A445" s="34" t="s">
        <v>7</v>
      </c>
      <c r="B445" s="34" t="s">
        <v>8</v>
      </c>
      <c r="C445" s="34" t="s">
        <v>339</v>
      </c>
      <c r="D445" s="34" t="s">
        <v>190</v>
      </c>
      <c r="E445" s="34" t="s">
        <v>29</v>
      </c>
      <c r="F445" s="35">
        <v>-91.3</v>
      </c>
      <c r="G445" s="35"/>
      <c r="H445" t="str">
        <f>IFERROR(VLOOKUP(C445,Sheet4!B:C,2,0),"")</f>
        <v/>
      </c>
    </row>
    <row r="446" spans="1:8" x14ac:dyDescent="0.35">
      <c r="A446" s="34" t="s">
        <v>7</v>
      </c>
      <c r="B446" s="34" t="s">
        <v>8</v>
      </c>
      <c r="C446" s="34" t="s">
        <v>339</v>
      </c>
      <c r="D446" s="34" t="s">
        <v>190</v>
      </c>
      <c r="E446" s="34" t="s">
        <v>10</v>
      </c>
      <c r="F446" s="35">
        <v>80505.710000000006</v>
      </c>
      <c r="G446" s="35">
        <v>60529.34</v>
      </c>
      <c r="H446" t="str">
        <f>IFERROR(VLOOKUP(C446,Sheet4!B:C,2,0),"")</f>
        <v/>
      </c>
    </row>
    <row r="447" spans="1:8" x14ac:dyDescent="0.35">
      <c r="A447" s="34" t="s">
        <v>7</v>
      </c>
      <c r="B447" s="34" t="s">
        <v>8</v>
      </c>
      <c r="C447" s="34" t="s">
        <v>339</v>
      </c>
      <c r="D447" s="34" t="s">
        <v>190</v>
      </c>
      <c r="E447" s="34" t="s">
        <v>11</v>
      </c>
      <c r="F447" s="35">
        <v>92228.28</v>
      </c>
      <c r="G447" s="35">
        <v>97959.32</v>
      </c>
      <c r="H447" t="str">
        <f>IFERROR(VLOOKUP(C447,Sheet4!B:C,2,0),"")</f>
        <v/>
      </c>
    </row>
    <row r="448" spans="1:8" x14ac:dyDescent="0.35">
      <c r="A448" s="34" t="s">
        <v>7</v>
      </c>
      <c r="B448" s="34" t="s">
        <v>8</v>
      </c>
      <c r="C448" s="34" t="s">
        <v>339</v>
      </c>
      <c r="D448" s="34" t="s">
        <v>190</v>
      </c>
      <c r="E448" s="34" t="s">
        <v>12</v>
      </c>
      <c r="F448" s="35">
        <v>96044.45</v>
      </c>
      <c r="G448" s="35">
        <v>112363.34</v>
      </c>
      <c r="H448" t="str">
        <f>IFERROR(VLOOKUP(C448,Sheet4!B:C,2,0),"")</f>
        <v/>
      </c>
    </row>
    <row r="449" spans="1:8" x14ac:dyDescent="0.35">
      <c r="A449" s="34" t="s">
        <v>7</v>
      </c>
      <c r="B449" s="34" t="s">
        <v>8</v>
      </c>
      <c r="C449" s="34" t="s">
        <v>201</v>
      </c>
      <c r="D449" s="34" t="s">
        <v>9</v>
      </c>
      <c r="E449" s="34" t="s">
        <v>29</v>
      </c>
      <c r="F449" s="35">
        <v>2780.41</v>
      </c>
      <c r="G449" s="35"/>
      <c r="H449" t="str">
        <f>IFERROR(VLOOKUP(C449,Sheet4!B:C,2,0),"")</f>
        <v/>
      </c>
    </row>
    <row r="450" spans="1:8" x14ac:dyDescent="0.35">
      <c r="A450" s="34" t="s">
        <v>7</v>
      </c>
      <c r="B450" s="34" t="s">
        <v>8</v>
      </c>
      <c r="C450" s="34" t="s">
        <v>201</v>
      </c>
      <c r="D450" s="34" t="s">
        <v>9</v>
      </c>
      <c r="E450" s="34" t="s">
        <v>10</v>
      </c>
      <c r="F450" s="35">
        <v>50616.63</v>
      </c>
      <c r="G450" s="35">
        <v>23867.78</v>
      </c>
      <c r="H450" t="str">
        <f>IFERROR(VLOOKUP(C450,Sheet4!B:C,2,0),"")</f>
        <v/>
      </c>
    </row>
    <row r="451" spans="1:8" x14ac:dyDescent="0.35">
      <c r="A451" s="34" t="s">
        <v>7</v>
      </c>
      <c r="B451" s="34" t="s">
        <v>8</v>
      </c>
      <c r="C451" s="34" t="s">
        <v>201</v>
      </c>
      <c r="D451" s="34" t="s">
        <v>9</v>
      </c>
      <c r="E451" s="34" t="s">
        <v>11</v>
      </c>
      <c r="F451" s="35">
        <v>85371.63</v>
      </c>
      <c r="G451" s="35">
        <v>90234.69</v>
      </c>
      <c r="H451" t="str">
        <f>IFERROR(VLOOKUP(C451,Sheet4!B:C,2,0),"")</f>
        <v/>
      </c>
    </row>
    <row r="452" spans="1:8" x14ac:dyDescent="0.35">
      <c r="A452" s="34" t="s">
        <v>7</v>
      </c>
      <c r="B452" s="34" t="s">
        <v>8</v>
      </c>
      <c r="C452" s="34" t="s">
        <v>201</v>
      </c>
      <c r="D452" s="34" t="s">
        <v>9</v>
      </c>
      <c r="E452" s="34" t="s">
        <v>12</v>
      </c>
      <c r="F452" s="35">
        <v>-4966.96</v>
      </c>
      <c r="G452" s="35"/>
      <c r="H452" t="str">
        <f>IFERROR(VLOOKUP(C452,Sheet4!B:C,2,0),"")</f>
        <v/>
      </c>
    </row>
    <row r="453" spans="1:8" x14ac:dyDescent="0.35">
      <c r="A453" s="34" t="s">
        <v>7</v>
      </c>
      <c r="B453" s="34" t="s">
        <v>8</v>
      </c>
      <c r="C453" s="34" t="s">
        <v>202</v>
      </c>
      <c r="D453" s="34" t="s">
        <v>13</v>
      </c>
      <c r="E453" s="34" t="s">
        <v>12</v>
      </c>
      <c r="F453" s="35">
        <v>4966.96</v>
      </c>
      <c r="G453" s="35"/>
      <c r="H453" t="str">
        <f>IFERROR(VLOOKUP(C453,Sheet4!B:C,2,0),"")</f>
        <v/>
      </c>
    </row>
    <row r="454" spans="1:8" x14ac:dyDescent="0.35">
      <c r="A454" s="34" t="s">
        <v>7</v>
      </c>
      <c r="B454" s="34" t="s">
        <v>8</v>
      </c>
      <c r="C454" s="34" t="s">
        <v>203</v>
      </c>
      <c r="D454" s="34" t="s">
        <v>14</v>
      </c>
      <c r="E454" s="34" t="s">
        <v>29</v>
      </c>
      <c r="F454" s="35">
        <v>-2871.71</v>
      </c>
      <c r="G454" s="35"/>
      <c r="H454" t="str">
        <f>IFERROR(VLOOKUP(C454,Sheet4!B:C,2,0),"")</f>
        <v/>
      </c>
    </row>
    <row r="455" spans="1:8" x14ac:dyDescent="0.35">
      <c r="A455" s="34" t="s">
        <v>7</v>
      </c>
      <c r="B455" s="34" t="s">
        <v>8</v>
      </c>
      <c r="C455" s="34" t="s">
        <v>203</v>
      </c>
      <c r="D455" s="34" t="s">
        <v>14</v>
      </c>
      <c r="E455" s="34" t="s">
        <v>10</v>
      </c>
      <c r="F455" s="35">
        <v>-2426.86</v>
      </c>
      <c r="G455" s="35">
        <v>3048.2</v>
      </c>
      <c r="H455" t="str">
        <f>IFERROR(VLOOKUP(C455,Sheet4!B:C,2,0),"")</f>
        <v/>
      </c>
    </row>
    <row r="456" spans="1:8" x14ac:dyDescent="0.35">
      <c r="A456" s="34" t="s">
        <v>7</v>
      </c>
      <c r="B456" s="34" t="s">
        <v>8</v>
      </c>
      <c r="C456" s="34" t="s">
        <v>203</v>
      </c>
      <c r="D456" s="34" t="s">
        <v>14</v>
      </c>
      <c r="E456" s="34" t="s">
        <v>11</v>
      </c>
      <c r="F456" s="35">
        <v>1836.22</v>
      </c>
      <c r="G456" s="35">
        <v>332.95</v>
      </c>
      <c r="H456" t="str">
        <f>IFERROR(VLOOKUP(C456,Sheet4!B:C,2,0),"")</f>
        <v/>
      </c>
    </row>
    <row r="457" spans="1:8" x14ac:dyDescent="0.35">
      <c r="A457" s="34" t="s">
        <v>7</v>
      </c>
      <c r="B457" s="34" t="s">
        <v>8</v>
      </c>
      <c r="C457" s="34" t="s">
        <v>203</v>
      </c>
      <c r="D457" s="34" t="s">
        <v>14</v>
      </c>
      <c r="E457" s="34" t="s">
        <v>12</v>
      </c>
      <c r="F457" s="35">
        <v>77936.72</v>
      </c>
      <c r="G457" s="35">
        <v>98177.04</v>
      </c>
      <c r="H457" t="str">
        <f>IFERROR(VLOOKUP(C457,Sheet4!B:C,2,0),"")</f>
        <v/>
      </c>
    </row>
    <row r="458" spans="1:8" x14ac:dyDescent="0.35">
      <c r="A458" s="34" t="s">
        <v>7</v>
      </c>
      <c r="B458" s="34" t="s">
        <v>8</v>
      </c>
      <c r="C458" s="34" t="s">
        <v>204</v>
      </c>
      <c r="D458" s="34" t="s">
        <v>15</v>
      </c>
      <c r="E458" s="34" t="s">
        <v>10</v>
      </c>
      <c r="F458" s="35">
        <v>1235.79</v>
      </c>
      <c r="G458" s="35">
        <v>1035.57</v>
      </c>
      <c r="H458" t="str">
        <f>IFERROR(VLOOKUP(C458,Sheet4!B:C,2,0),"")</f>
        <v/>
      </c>
    </row>
    <row r="459" spans="1:8" x14ac:dyDescent="0.35">
      <c r="A459" s="34" t="s">
        <v>7</v>
      </c>
      <c r="B459" s="34" t="s">
        <v>8</v>
      </c>
      <c r="C459" s="34" t="s">
        <v>204</v>
      </c>
      <c r="D459" s="34" t="s">
        <v>15</v>
      </c>
      <c r="E459" s="34" t="s">
        <v>11</v>
      </c>
      <c r="F459" s="35">
        <v>94.3</v>
      </c>
      <c r="G459" s="35">
        <v>79.33</v>
      </c>
      <c r="H459" t="str">
        <f>IFERROR(VLOOKUP(C459,Sheet4!B:C,2,0),"")</f>
        <v/>
      </c>
    </row>
    <row r="460" spans="1:8" x14ac:dyDescent="0.35">
      <c r="A460" s="34" t="s">
        <v>7</v>
      </c>
      <c r="B460" s="34" t="s">
        <v>8</v>
      </c>
      <c r="C460" s="34" t="s">
        <v>205</v>
      </c>
      <c r="D460" s="34" t="s">
        <v>16</v>
      </c>
      <c r="E460" s="34" t="s">
        <v>10</v>
      </c>
      <c r="F460" s="35">
        <v>101.29</v>
      </c>
      <c r="G460" s="35">
        <v>126.35</v>
      </c>
      <c r="H460" t="str">
        <f>IFERROR(VLOOKUP(C460,Sheet4!B:C,2,0),"")</f>
        <v/>
      </c>
    </row>
    <row r="461" spans="1:8" x14ac:dyDescent="0.35">
      <c r="A461" s="34" t="s">
        <v>7</v>
      </c>
      <c r="B461" s="34" t="s">
        <v>8</v>
      </c>
      <c r="C461" s="34" t="s">
        <v>206</v>
      </c>
      <c r="D461" s="34" t="s">
        <v>17</v>
      </c>
      <c r="E461" s="34" t="s">
        <v>10</v>
      </c>
      <c r="F461" s="35">
        <v>104.74</v>
      </c>
      <c r="G461" s="35">
        <v>172.52</v>
      </c>
      <c r="H461" t="str">
        <f>IFERROR(VLOOKUP(C461,Sheet4!B:C,2,0),"")</f>
        <v/>
      </c>
    </row>
    <row r="462" spans="1:8" x14ac:dyDescent="0.35">
      <c r="A462" s="34" t="s">
        <v>7</v>
      </c>
      <c r="B462" s="34" t="s">
        <v>8</v>
      </c>
      <c r="C462" s="34" t="s">
        <v>207</v>
      </c>
      <c r="D462" s="34" t="s">
        <v>18</v>
      </c>
      <c r="E462" s="34" t="s">
        <v>10</v>
      </c>
      <c r="F462" s="35">
        <v>690</v>
      </c>
      <c r="G462" s="35">
        <v>294.14999999999998</v>
      </c>
      <c r="H462" t="str">
        <f>IFERROR(VLOOKUP(C462,Sheet4!B:C,2,0),"")</f>
        <v/>
      </c>
    </row>
    <row r="463" spans="1:8" x14ac:dyDescent="0.35">
      <c r="A463" s="34" t="s">
        <v>7</v>
      </c>
      <c r="B463" s="34" t="s">
        <v>8</v>
      </c>
      <c r="C463" s="34" t="s">
        <v>212</v>
      </c>
      <c r="D463" s="34" t="s">
        <v>19</v>
      </c>
      <c r="E463" s="34" t="s">
        <v>10</v>
      </c>
      <c r="F463" s="35">
        <v>4443.17</v>
      </c>
      <c r="G463" s="35">
        <v>5556.77</v>
      </c>
      <c r="H463" t="str">
        <f>IFERROR(VLOOKUP(C463,Sheet4!B:C,2,0),"")</f>
        <v/>
      </c>
    </row>
    <row r="464" spans="1:8" x14ac:dyDescent="0.35">
      <c r="A464" s="34" t="s">
        <v>7</v>
      </c>
      <c r="B464" s="34" t="s">
        <v>8</v>
      </c>
      <c r="C464" s="34" t="s">
        <v>212</v>
      </c>
      <c r="D464" s="34" t="s">
        <v>19</v>
      </c>
      <c r="E464" s="34" t="s">
        <v>11</v>
      </c>
      <c r="F464" s="35">
        <v>1152.08</v>
      </c>
      <c r="G464" s="35">
        <v>1289.45</v>
      </c>
      <c r="H464" t="str">
        <f>IFERROR(VLOOKUP(C464,Sheet4!B:C,2,0),"")</f>
        <v/>
      </c>
    </row>
    <row r="465" spans="1:8" x14ac:dyDescent="0.35">
      <c r="A465" s="34" t="s">
        <v>7</v>
      </c>
      <c r="B465" s="34" t="s">
        <v>8</v>
      </c>
      <c r="C465" s="34" t="s">
        <v>213</v>
      </c>
      <c r="D465" s="34" t="s">
        <v>20</v>
      </c>
      <c r="E465" s="34" t="s">
        <v>10</v>
      </c>
      <c r="F465" s="35">
        <v>15251.33</v>
      </c>
      <c r="G465" s="35">
        <v>11886.71</v>
      </c>
      <c r="H465" t="str">
        <f>IFERROR(VLOOKUP(C465,Sheet4!B:C,2,0),"")</f>
        <v/>
      </c>
    </row>
    <row r="466" spans="1:8" x14ac:dyDescent="0.35">
      <c r="A466" s="34" t="s">
        <v>7</v>
      </c>
      <c r="B466" s="34" t="s">
        <v>8</v>
      </c>
      <c r="C466" s="34" t="s">
        <v>213</v>
      </c>
      <c r="D466" s="34" t="s">
        <v>20</v>
      </c>
      <c r="E466" s="34" t="s">
        <v>11</v>
      </c>
      <c r="F466" s="35">
        <v>2866.7</v>
      </c>
      <c r="G466" s="35">
        <v>2898.72</v>
      </c>
      <c r="H466" t="str">
        <f>IFERROR(VLOOKUP(C466,Sheet4!B:C,2,0),"")</f>
        <v/>
      </c>
    </row>
    <row r="467" spans="1:8" x14ac:dyDescent="0.35">
      <c r="A467" s="34" t="s">
        <v>7</v>
      </c>
      <c r="B467" s="34" t="s">
        <v>8</v>
      </c>
      <c r="C467" s="34" t="s">
        <v>214</v>
      </c>
      <c r="D467" s="34" t="s">
        <v>21</v>
      </c>
      <c r="E467" s="34" t="s">
        <v>10</v>
      </c>
      <c r="F467" s="35">
        <v>3661.88</v>
      </c>
      <c r="G467" s="35">
        <v>2540.5700000000002</v>
      </c>
      <c r="H467" t="str">
        <f>IFERROR(VLOOKUP(C467,Sheet4!B:C,2,0),"")</f>
        <v/>
      </c>
    </row>
    <row r="468" spans="1:8" x14ac:dyDescent="0.35">
      <c r="A468" s="34" t="s">
        <v>7</v>
      </c>
      <c r="B468" s="34" t="s">
        <v>8</v>
      </c>
      <c r="C468" s="34" t="s">
        <v>214</v>
      </c>
      <c r="D468" s="34" t="s">
        <v>21</v>
      </c>
      <c r="E468" s="34" t="s">
        <v>11</v>
      </c>
      <c r="F468" s="35">
        <v>524.84</v>
      </c>
      <c r="G468" s="35">
        <v>1763.27</v>
      </c>
      <c r="H468" t="str">
        <f>IFERROR(VLOOKUP(C468,Sheet4!B:C,2,0),"")</f>
        <v/>
      </c>
    </row>
    <row r="469" spans="1:8" x14ac:dyDescent="0.35">
      <c r="A469" s="34" t="s">
        <v>7</v>
      </c>
      <c r="B469" s="34" t="s">
        <v>8</v>
      </c>
      <c r="C469" s="34" t="s">
        <v>214</v>
      </c>
      <c r="D469" s="34" t="s">
        <v>21</v>
      </c>
      <c r="E469" s="34" t="s">
        <v>12</v>
      </c>
      <c r="F469" s="35">
        <v>12024.4</v>
      </c>
      <c r="G469" s="35">
        <v>9108.3799999999992</v>
      </c>
      <c r="H469" t="str">
        <f>IFERROR(VLOOKUP(C469,Sheet4!B:C,2,0),"")</f>
        <v/>
      </c>
    </row>
    <row r="470" spans="1:8" x14ac:dyDescent="0.35">
      <c r="A470" s="34" t="s">
        <v>7</v>
      </c>
      <c r="B470" s="34" t="s">
        <v>8</v>
      </c>
      <c r="C470" s="34" t="s">
        <v>215</v>
      </c>
      <c r="D470" s="34" t="s">
        <v>22</v>
      </c>
      <c r="E470" s="34" t="s">
        <v>10</v>
      </c>
      <c r="F470" s="35">
        <v>1793.86</v>
      </c>
      <c r="G470" s="35">
        <v>4827.26</v>
      </c>
      <c r="H470" t="str">
        <f>IFERROR(VLOOKUP(C470,Sheet4!B:C,2,0),"")</f>
        <v/>
      </c>
    </row>
    <row r="471" spans="1:8" x14ac:dyDescent="0.35">
      <c r="A471" s="34" t="s">
        <v>7</v>
      </c>
      <c r="B471" s="34" t="s">
        <v>8</v>
      </c>
      <c r="C471" s="34" t="s">
        <v>215</v>
      </c>
      <c r="D471" s="34" t="s">
        <v>22</v>
      </c>
      <c r="E471" s="34" t="s">
        <v>11</v>
      </c>
      <c r="F471" s="35">
        <v>172.73</v>
      </c>
      <c r="G471" s="35">
        <v>755.87</v>
      </c>
      <c r="H471" t="str">
        <f>IFERROR(VLOOKUP(C471,Sheet4!B:C,2,0),"")</f>
        <v/>
      </c>
    </row>
    <row r="472" spans="1:8" x14ac:dyDescent="0.35">
      <c r="A472" s="34" t="s">
        <v>7</v>
      </c>
      <c r="B472" s="34" t="s">
        <v>8</v>
      </c>
      <c r="C472" s="34" t="s">
        <v>216</v>
      </c>
      <c r="D472" s="34" t="s">
        <v>23</v>
      </c>
      <c r="E472" s="34" t="s">
        <v>10</v>
      </c>
      <c r="F472" s="35">
        <v>302.98</v>
      </c>
      <c r="G472" s="35">
        <v>407.03</v>
      </c>
      <c r="H472" t="str">
        <f>IFERROR(VLOOKUP(C472,Sheet4!B:C,2,0),"")</f>
        <v/>
      </c>
    </row>
    <row r="473" spans="1:8" x14ac:dyDescent="0.35">
      <c r="A473" s="34" t="s">
        <v>7</v>
      </c>
      <c r="B473" s="34" t="s">
        <v>8</v>
      </c>
      <c r="C473" s="34" t="s">
        <v>216</v>
      </c>
      <c r="D473" s="34" t="s">
        <v>23</v>
      </c>
      <c r="E473" s="34" t="s">
        <v>11</v>
      </c>
      <c r="F473" s="35">
        <v>56.78</v>
      </c>
      <c r="G473" s="35">
        <v>29.14</v>
      </c>
      <c r="H473" t="str">
        <f>IFERROR(VLOOKUP(C473,Sheet4!B:C,2,0),"")</f>
        <v/>
      </c>
    </row>
    <row r="474" spans="1:8" x14ac:dyDescent="0.35">
      <c r="A474" s="34" t="s">
        <v>7</v>
      </c>
      <c r="B474" s="34" t="s">
        <v>8</v>
      </c>
      <c r="C474" s="34" t="s">
        <v>217</v>
      </c>
      <c r="D474" s="34" t="s">
        <v>24</v>
      </c>
      <c r="E474" s="34" t="s">
        <v>10</v>
      </c>
      <c r="F474" s="35">
        <v>137.81</v>
      </c>
      <c r="G474" s="35">
        <v>429.47</v>
      </c>
      <c r="H474" t="str">
        <f>IFERROR(VLOOKUP(C474,Sheet4!B:C,2,0),"")</f>
        <v/>
      </c>
    </row>
    <row r="475" spans="1:8" x14ac:dyDescent="0.35">
      <c r="A475" s="34" t="s">
        <v>7</v>
      </c>
      <c r="B475" s="34" t="s">
        <v>8</v>
      </c>
      <c r="C475" s="34" t="s">
        <v>218</v>
      </c>
      <c r="D475" s="34" t="s">
        <v>25</v>
      </c>
      <c r="E475" s="34" t="s">
        <v>10</v>
      </c>
      <c r="F475" s="35">
        <v>4593.09</v>
      </c>
      <c r="G475" s="35">
        <v>2498.4899999999998</v>
      </c>
      <c r="H475" t="str">
        <f>IFERROR(VLOOKUP(C475,Sheet4!B:C,2,0),"")</f>
        <v/>
      </c>
    </row>
    <row r="476" spans="1:8" x14ac:dyDescent="0.35">
      <c r="A476" s="34" t="s">
        <v>7</v>
      </c>
      <c r="B476" s="34" t="s">
        <v>8</v>
      </c>
      <c r="C476" s="34" t="s">
        <v>218</v>
      </c>
      <c r="D476" s="34" t="s">
        <v>25</v>
      </c>
      <c r="E476" s="34" t="s">
        <v>11</v>
      </c>
      <c r="F476" s="35">
        <v>153</v>
      </c>
      <c r="G476" s="35">
        <v>575.9</v>
      </c>
      <c r="H476" t="str">
        <f>IFERROR(VLOOKUP(C476,Sheet4!B:C,2,0),"")</f>
        <v/>
      </c>
    </row>
    <row r="477" spans="1:8" x14ac:dyDescent="0.35">
      <c r="A477" s="34" t="s">
        <v>7</v>
      </c>
      <c r="B477" s="34" t="s">
        <v>8</v>
      </c>
      <c r="C477" s="34" t="s">
        <v>219</v>
      </c>
      <c r="D477" s="34" t="s">
        <v>26</v>
      </c>
      <c r="E477" s="34" t="s">
        <v>10</v>
      </c>
      <c r="F477" s="35"/>
      <c r="G477" s="35">
        <v>3838.47</v>
      </c>
      <c r="H477" t="str">
        <f>IFERROR(VLOOKUP(C477,Sheet4!B:C,2,0),"")</f>
        <v/>
      </c>
    </row>
    <row r="478" spans="1:8" x14ac:dyDescent="0.35">
      <c r="A478" s="34" t="s">
        <v>7</v>
      </c>
      <c r="B478" s="34" t="s">
        <v>8</v>
      </c>
      <c r="C478" s="34" t="s">
        <v>220</v>
      </c>
      <c r="D478" s="34" t="s">
        <v>27</v>
      </c>
      <c r="E478" s="34" t="s">
        <v>12</v>
      </c>
      <c r="F478" s="35">
        <v>6083.33</v>
      </c>
      <c r="G478" s="35">
        <v>4987.92</v>
      </c>
      <c r="H478" t="str">
        <f>IFERROR(VLOOKUP(C478,Sheet4!B:C,2,0),"")</f>
        <v/>
      </c>
    </row>
    <row r="479" spans="1:8" x14ac:dyDescent="0.35">
      <c r="A479" s="34" t="s">
        <v>7</v>
      </c>
      <c r="B479" s="34" t="s">
        <v>8</v>
      </c>
      <c r="C479" s="34" t="s">
        <v>340</v>
      </c>
      <c r="D479" s="34" t="s">
        <v>194</v>
      </c>
      <c r="E479" s="34" t="s">
        <v>29</v>
      </c>
      <c r="F479" s="35">
        <v>570.71</v>
      </c>
      <c r="G479" s="35">
        <v>523.51</v>
      </c>
      <c r="H479" t="str">
        <f>IFERROR(VLOOKUP(C479,Sheet4!B:C,2,0),"")</f>
        <v/>
      </c>
    </row>
    <row r="480" spans="1:8" x14ac:dyDescent="0.35">
      <c r="A480" s="34" t="s">
        <v>7</v>
      </c>
      <c r="B480" s="34" t="s">
        <v>8</v>
      </c>
      <c r="C480" s="34" t="s">
        <v>340</v>
      </c>
      <c r="D480" s="34" t="s">
        <v>194</v>
      </c>
      <c r="E480" s="34" t="s">
        <v>10</v>
      </c>
      <c r="F480" s="35">
        <v>37183.64</v>
      </c>
      <c r="G480" s="35">
        <v>37837.51</v>
      </c>
      <c r="H480" t="str">
        <f>IFERROR(VLOOKUP(C480,Sheet4!B:C,2,0),"")</f>
        <v/>
      </c>
    </row>
    <row r="481" spans="1:8" x14ac:dyDescent="0.35">
      <c r="A481" s="34" t="s">
        <v>7</v>
      </c>
      <c r="B481" s="34" t="s">
        <v>8</v>
      </c>
      <c r="C481" s="34" t="s">
        <v>340</v>
      </c>
      <c r="D481" s="34" t="s">
        <v>194</v>
      </c>
      <c r="E481" s="34" t="s">
        <v>11</v>
      </c>
      <c r="F481" s="35">
        <v>25021.51</v>
      </c>
      <c r="G481" s="35">
        <v>31142.19</v>
      </c>
      <c r="H481" t="str">
        <f>IFERROR(VLOOKUP(C481,Sheet4!B:C,2,0),"")</f>
        <v/>
      </c>
    </row>
    <row r="482" spans="1:8" x14ac:dyDescent="0.35">
      <c r="A482" s="34" t="s">
        <v>7</v>
      </c>
      <c r="B482" s="34" t="s">
        <v>8</v>
      </c>
      <c r="C482" s="34" t="s">
        <v>340</v>
      </c>
      <c r="D482" s="34" t="s">
        <v>194</v>
      </c>
      <c r="E482" s="34" t="s">
        <v>12</v>
      </c>
      <c r="F482" s="35">
        <v>22799.8</v>
      </c>
      <c r="G482" s="35">
        <v>14797.52</v>
      </c>
      <c r="H482" t="str">
        <f>IFERROR(VLOOKUP(C482,Sheet4!B:C,2,0),"")</f>
        <v/>
      </c>
    </row>
    <row r="483" spans="1:8" x14ac:dyDescent="0.35">
      <c r="A483" t="s">
        <v>7</v>
      </c>
      <c r="B483" t="s">
        <v>8</v>
      </c>
      <c r="C483" t="s">
        <v>236</v>
      </c>
      <c r="D483" t="s">
        <v>45</v>
      </c>
      <c r="E483" t="s">
        <v>10</v>
      </c>
      <c r="F483">
        <v>494.34</v>
      </c>
      <c r="H483" t="str">
        <f>IFERROR(VLOOKUP(C483,Sheet4!B:C,2,0),"")</f>
        <v/>
      </c>
    </row>
    <row r="484" spans="1:8" x14ac:dyDescent="0.35">
      <c r="A484" t="s">
        <v>7</v>
      </c>
      <c r="B484" t="s">
        <v>8</v>
      </c>
      <c r="C484" t="s">
        <v>237</v>
      </c>
      <c r="D484" t="s">
        <v>46</v>
      </c>
      <c r="E484" t="s">
        <v>29</v>
      </c>
      <c r="F484">
        <v>570.71</v>
      </c>
      <c r="G484">
        <v>523.51</v>
      </c>
      <c r="H484" t="str">
        <f>IFERROR(VLOOKUP(C484,Sheet4!B:C,2,0),"")</f>
        <v/>
      </c>
    </row>
    <row r="485" spans="1:8" x14ac:dyDescent="0.35">
      <c r="A485" t="s">
        <v>7</v>
      </c>
      <c r="B485" t="s">
        <v>8</v>
      </c>
      <c r="C485" t="s">
        <v>237</v>
      </c>
      <c r="D485" t="s">
        <v>46</v>
      </c>
      <c r="E485" t="s">
        <v>10</v>
      </c>
      <c r="F485">
        <v>32303.53</v>
      </c>
      <c r="G485">
        <v>31263.9</v>
      </c>
      <c r="H485" t="str">
        <f>IFERROR(VLOOKUP(C485,Sheet4!B:C,2,0),"")</f>
        <v/>
      </c>
    </row>
    <row r="486" spans="1:8" x14ac:dyDescent="0.35">
      <c r="A486" t="s">
        <v>7</v>
      </c>
      <c r="B486" t="s">
        <v>8</v>
      </c>
      <c r="C486" t="s">
        <v>237</v>
      </c>
      <c r="D486" t="s">
        <v>46</v>
      </c>
      <c r="E486" t="s">
        <v>11</v>
      </c>
      <c r="F486">
        <v>18646.169999999998</v>
      </c>
      <c r="G486">
        <v>16426.919999999998</v>
      </c>
      <c r="H486" t="str">
        <f>IFERROR(VLOOKUP(C486,Sheet4!B:C,2,0),"")</f>
        <v/>
      </c>
    </row>
    <row r="487" spans="1:8" x14ac:dyDescent="0.35">
      <c r="A487" t="s">
        <v>7</v>
      </c>
      <c r="B487" t="s">
        <v>8</v>
      </c>
      <c r="C487" t="s">
        <v>237</v>
      </c>
      <c r="D487" t="s">
        <v>46</v>
      </c>
      <c r="E487" t="s">
        <v>12</v>
      </c>
      <c r="F487">
        <v>1266.51</v>
      </c>
      <c r="G487">
        <v>1062.25</v>
      </c>
      <c r="H487" t="str">
        <f>IFERROR(VLOOKUP(C487,Sheet4!B:C,2,0),"")</f>
        <v/>
      </c>
    </row>
    <row r="488" spans="1:8" x14ac:dyDescent="0.35">
      <c r="A488" t="s">
        <v>7</v>
      </c>
      <c r="B488" t="s">
        <v>8</v>
      </c>
      <c r="C488" t="s">
        <v>238</v>
      </c>
      <c r="D488" t="s">
        <v>47</v>
      </c>
      <c r="E488" t="s">
        <v>10</v>
      </c>
      <c r="F488">
        <v>3424.73</v>
      </c>
      <c r="G488">
        <v>6573.61</v>
      </c>
      <c r="H488" t="str">
        <f>IFERROR(VLOOKUP(C488,Sheet4!B:C,2,0),"")</f>
        <v/>
      </c>
    </row>
    <row r="489" spans="1:8" x14ac:dyDescent="0.35">
      <c r="A489" t="s">
        <v>7</v>
      </c>
      <c r="B489" t="s">
        <v>8</v>
      </c>
      <c r="C489" t="s">
        <v>238</v>
      </c>
      <c r="D489" t="s">
        <v>47</v>
      </c>
      <c r="E489" t="s">
        <v>11</v>
      </c>
      <c r="F489">
        <v>6375.34</v>
      </c>
      <c r="G489">
        <v>14715.27</v>
      </c>
      <c r="H489" t="str">
        <f>IFERROR(VLOOKUP(C489,Sheet4!B:C,2,0),"")</f>
        <v/>
      </c>
    </row>
    <row r="490" spans="1:8" x14ac:dyDescent="0.35">
      <c r="A490" t="s">
        <v>7</v>
      </c>
      <c r="B490" t="s">
        <v>8</v>
      </c>
      <c r="C490" t="s">
        <v>238</v>
      </c>
      <c r="D490" t="s">
        <v>47</v>
      </c>
      <c r="E490" t="s">
        <v>12</v>
      </c>
      <c r="F490">
        <v>21533.29</v>
      </c>
      <c r="G490">
        <v>13735.27</v>
      </c>
      <c r="H490" t="str">
        <f>IFERROR(VLOOKUP(C490,Sheet4!B:C,2,0),"")</f>
        <v/>
      </c>
    </row>
    <row r="491" spans="1:8" x14ac:dyDescent="0.35">
      <c r="A491" t="s">
        <v>7</v>
      </c>
      <c r="B491" t="s">
        <v>8</v>
      </c>
      <c r="C491" t="s">
        <v>239</v>
      </c>
      <c r="D491" t="s">
        <v>48</v>
      </c>
      <c r="E491" t="s">
        <v>10</v>
      </c>
      <c r="F491">
        <v>961.04</v>
      </c>
      <c r="H491" t="str">
        <f>IFERROR(VLOOKUP(C491,Sheet4!B:C,2,0),"")</f>
        <v/>
      </c>
    </row>
    <row r="492" spans="1:8" x14ac:dyDescent="0.35">
      <c r="A492" t="s">
        <v>7</v>
      </c>
      <c r="B492" t="s">
        <v>8</v>
      </c>
      <c r="C492" t="s">
        <v>341</v>
      </c>
      <c r="D492" t="s">
        <v>196</v>
      </c>
      <c r="E492" t="s">
        <v>29</v>
      </c>
      <c r="F492">
        <v>682.82</v>
      </c>
      <c r="G492">
        <v>656.28</v>
      </c>
      <c r="H492" t="str">
        <f>IFERROR(VLOOKUP(C492,Sheet4!B:C,2,0),"")</f>
        <v/>
      </c>
    </row>
    <row r="493" spans="1:8" x14ac:dyDescent="0.35">
      <c r="A493" t="s">
        <v>7</v>
      </c>
      <c r="B493" t="s">
        <v>8</v>
      </c>
      <c r="C493" t="s">
        <v>341</v>
      </c>
      <c r="D493" t="s">
        <v>196</v>
      </c>
      <c r="E493" t="s">
        <v>10</v>
      </c>
      <c r="F493">
        <v>1084163.06</v>
      </c>
      <c r="G493">
        <v>924135.1</v>
      </c>
      <c r="H493" t="str">
        <f>IFERROR(VLOOKUP(C493,Sheet4!B:C,2,0),"")</f>
        <v/>
      </c>
    </row>
    <row r="494" spans="1:8" x14ac:dyDescent="0.35">
      <c r="A494" t="s">
        <v>7</v>
      </c>
      <c r="B494" t="s">
        <v>8</v>
      </c>
      <c r="C494" t="s">
        <v>341</v>
      </c>
      <c r="D494" t="s">
        <v>196</v>
      </c>
      <c r="E494" t="s">
        <v>11</v>
      </c>
      <c r="F494">
        <v>250463.12</v>
      </c>
      <c r="G494">
        <v>134969.17000000001</v>
      </c>
      <c r="H494" t="str">
        <f>IFERROR(VLOOKUP(C494,Sheet4!B:C,2,0),"")</f>
        <v/>
      </c>
    </row>
    <row r="495" spans="1:8" x14ac:dyDescent="0.35">
      <c r="A495" t="s">
        <v>7</v>
      </c>
      <c r="B495" t="s">
        <v>8</v>
      </c>
      <c r="C495" t="s">
        <v>341</v>
      </c>
      <c r="D495" t="s">
        <v>196</v>
      </c>
      <c r="E495" t="s">
        <v>12</v>
      </c>
      <c r="F495">
        <v>17267.37</v>
      </c>
      <c r="G495">
        <v>163180.89000000001</v>
      </c>
      <c r="H495" t="str">
        <f>IFERROR(VLOOKUP(C495,Sheet4!B:C,2,0),"")</f>
        <v/>
      </c>
    </row>
    <row r="496" spans="1:8" x14ac:dyDescent="0.35">
      <c r="A496" t="s">
        <v>7</v>
      </c>
      <c r="B496" t="s">
        <v>8</v>
      </c>
      <c r="C496" t="s">
        <v>229</v>
      </c>
      <c r="D496" t="s">
        <v>38</v>
      </c>
      <c r="E496" t="s">
        <v>10</v>
      </c>
      <c r="F496">
        <v>153208.47</v>
      </c>
      <c r="G496">
        <v>54605.120000000003</v>
      </c>
      <c r="H496" t="str">
        <f>IFERROR(VLOOKUP(C496,Sheet4!B:C,2,0),"")</f>
        <v/>
      </c>
    </row>
    <row r="497" spans="1:8" x14ac:dyDescent="0.35">
      <c r="A497" t="s">
        <v>7</v>
      </c>
      <c r="B497" t="s">
        <v>8</v>
      </c>
      <c r="C497" t="s">
        <v>229</v>
      </c>
      <c r="D497" t="s">
        <v>38</v>
      </c>
      <c r="E497" t="s">
        <v>11</v>
      </c>
      <c r="F497">
        <v>67628.66</v>
      </c>
      <c r="G497">
        <v>27698.75</v>
      </c>
      <c r="H497" t="str">
        <f>IFERROR(VLOOKUP(C497,Sheet4!B:C,2,0),"")</f>
        <v/>
      </c>
    </row>
    <row r="498" spans="1:8" x14ac:dyDescent="0.35">
      <c r="A498" t="s">
        <v>7</v>
      </c>
      <c r="B498" t="s">
        <v>8</v>
      </c>
      <c r="C498" t="s">
        <v>229</v>
      </c>
      <c r="D498" t="s">
        <v>38</v>
      </c>
      <c r="E498" t="s">
        <v>12</v>
      </c>
      <c r="F498">
        <v>215959.04000000001</v>
      </c>
      <c r="G498">
        <v>23315.32</v>
      </c>
      <c r="H498" t="str">
        <f>IFERROR(VLOOKUP(C498,Sheet4!B:C,2,0),"")</f>
        <v/>
      </c>
    </row>
    <row r="499" spans="1:8" x14ac:dyDescent="0.35">
      <c r="A499" t="s">
        <v>7</v>
      </c>
      <c r="B499" t="s">
        <v>8</v>
      </c>
      <c r="C499" t="s">
        <v>230</v>
      </c>
      <c r="D499" t="s">
        <v>39</v>
      </c>
      <c r="E499" t="s">
        <v>29</v>
      </c>
      <c r="F499">
        <v>558.37</v>
      </c>
      <c r="G499">
        <v>464.97</v>
      </c>
      <c r="H499" t="str">
        <f>IFERROR(VLOOKUP(C499,Sheet4!B:C,2,0),"")</f>
        <v/>
      </c>
    </row>
    <row r="500" spans="1:8" x14ac:dyDescent="0.35">
      <c r="A500" t="s">
        <v>7</v>
      </c>
      <c r="B500" t="s">
        <v>8</v>
      </c>
      <c r="C500" t="s">
        <v>230</v>
      </c>
      <c r="D500" t="s">
        <v>39</v>
      </c>
      <c r="E500" t="s">
        <v>10</v>
      </c>
      <c r="F500">
        <v>283809.99</v>
      </c>
      <c r="G500">
        <v>259493.08</v>
      </c>
      <c r="H500" t="str">
        <f>IFERROR(VLOOKUP(C500,Sheet4!B:C,2,0),"")</f>
        <v/>
      </c>
    </row>
    <row r="501" spans="1:8" x14ac:dyDescent="0.35">
      <c r="A501" t="s">
        <v>7</v>
      </c>
      <c r="B501" t="s">
        <v>8</v>
      </c>
      <c r="C501" t="s">
        <v>230</v>
      </c>
      <c r="D501" t="s">
        <v>39</v>
      </c>
      <c r="E501" t="s">
        <v>11</v>
      </c>
      <c r="F501">
        <v>65952.02</v>
      </c>
      <c r="G501">
        <v>81391.520000000004</v>
      </c>
      <c r="H501" t="str">
        <f>IFERROR(VLOOKUP(C501,Sheet4!B:C,2,0),"")</f>
        <v/>
      </c>
    </row>
    <row r="502" spans="1:8" x14ac:dyDescent="0.35">
      <c r="A502" t="s">
        <v>7</v>
      </c>
      <c r="B502" t="s">
        <v>8</v>
      </c>
      <c r="C502" t="s">
        <v>230</v>
      </c>
      <c r="D502" t="s">
        <v>39</v>
      </c>
      <c r="E502" t="s">
        <v>12</v>
      </c>
      <c r="F502">
        <v>-104427.68</v>
      </c>
      <c r="G502">
        <v>99833.91</v>
      </c>
      <c r="H502" t="str">
        <f>IFERROR(VLOOKUP(C502,Sheet4!B:C,2,0),"")</f>
        <v/>
      </c>
    </row>
    <row r="503" spans="1:8" x14ac:dyDescent="0.35">
      <c r="A503" t="s">
        <v>7</v>
      </c>
      <c r="B503" t="s">
        <v>8</v>
      </c>
      <c r="C503" t="s">
        <v>231</v>
      </c>
      <c r="D503" t="s">
        <v>40</v>
      </c>
      <c r="E503" t="s">
        <v>10</v>
      </c>
      <c r="F503">
        <v>18826.03</v>
      </c>
      <c r="H503" t="str">
        <f>IFERROR(VLOOKUP(C503,Sheet4!B:C,2,0),"")</f>
        <v/>
      </c>
    </row>
    <row r="504" spans="1:8" x14ac:dyDescent="0.35">
      <c r="A504" t="s">
        <v>7</v>
      </c>
      <c r="B504" t="s">
        <v>8</v>
      </c>
      <c r="C504" t="s">
        <v>231</v>
      </c>
      <c r="D504" t="s">
        <v>40</v>
      </c>
      <c r="E504" t="s">
        <v>11</v>
      </c>
      <c r="F504">
        <v>7097.22</v>
      </c>
      <c r="H504" t="str">
        <f>IFERROR(VLOOKUP(C504,Sheet4!B:C,2,0),"")</f>
        <v/>
      </c>
    </row>
    <row r="505" spans="1:8" x14ac:dyDescent="0.35">
      <c r="A505" t="s">
        <v>7</v>
      </c>
      <c r="B505" t="s">
        <v>8</v>
      </c>
      <c r="C505" t="s">
        <v>231</v>
      </c>
      <c r="D505" t="s">
        <v>40</v>
      </c>
      <c r="E505" t="s">
        <v>12</v>
      </c>
      <c r="F505">
        <v>9534.33</v>
      </c>
      <c r="H505" t="str">
        <f>IFERROR(VLOOKUP(C505,Sheet4!B:C,2,0),"")</f>
        <v/>
      </c>
    </row>
    <row r="506" spans="1:8" x14ac:dyDescent="0.35">
      <c r="A506" t="s">
        <v>7</v>
      </c>
      <c r="B506" t="s">
        <v>8</v>
      </c>
      <c r="C506" t="s">
        <v>232</v>
      </c>
      <c r="D506" t="s">
        <v>41</v>
      </c>
      <c r="E506" t="s">
        <v>29</v>
      </c>
      <c r="F506">
        <v>0</v>
      </c>
      <c r="G506">
        <v>44.78</v>
      </c>
      <c r="H506" t="str">
        <f>IFERROR(VLOOKUP(C506,Sheet4!B:C,2,0),"")</f>
        <v/>
      </c>
    </row>
    <row r="507" spans="1:8" x14ac:dyDescent="0.35">
      <c r="A507" t="s">
        <v>7</v>
      </c>
      <c r="B507" t="s">
        <v>8</v>
      </c>
      <c r="C507" t="s">
        <v>232</v>
      </c>
      <c r="D507" t="s">
        <v>41</v>
      </c>
      <c r="E507" t="s">
        <v>10</v>
      </c>
      <c r="F507">
        <v>193529.52</v>
      </c>
      <c r="G507">
        <v>236041.27</v>
      </c>
      <c r="H507" t="str">
        <f>IFERROR(VLOOKUP(C507,Sheet4!B:C,2,0),"")</f>
        <v/>
      </c>
    </row>
    <row r="508" spans="1:8" x14ac:dyDescent="0.35">
      <c r="A508" t="s">
        <v>7</v>
      </c>
      <c r="B508" t="s">
        <v>8</v>
      </c>
      <c r="C508" t="s">
        <v>232</v>
      </c>
      <c r="D508" t="s">
        <v>41</v>
      </c>
      <c r="E508" t="s">
        <v>11</v>
      </c>
      <c r="F508">
        <v>28334.59</v>
      </c>
      <c r="G508">
        <v>32852.6</v>
      </c>
      <c r="H508" t="str">
        <f>IFERROR(VLOOKUP(C508,Sheet4!B:C,2,0),"")</f>
        <v/>
      </c>
    </row>
    <row r="509" spans="1:8" x14ac:dyDescent="0.35">
      <c r="A509" t="s">
        <v>7</v>
      </c>
      <c r="B509" t="s">
        <v>8</v>
      </c>
      <c r="C509" t="s">
        <v>232</v>
      </c>
      <c r="D509" t="s">
        <v>41</v>
      </c>
      <c r="E509" t="s">
        <v>12</v>
      </c>
      <c r="F509">
        <v>58520.82</v>
      </c>
      <c r="G509">
        <v>69774.3</v>
      </c>
      <c r="H509" t="str">
        <f>IFERROR(VLOOKUP(C509,Sheet4!B:C,2,0),"")</f>
        <v/>
      </c>
    </row>
    <row r="510" spans="1:8" x14ac:dyDescent="0.35">
      <c r="A510" t="s">
        <v>7</v>
      </c>
      <c r="B510" t="s">
        <v>8</v>
      </c>
      <c r="C510" t="s">
        <v>233</v>
      </c>
      <c r="D510" t="s">
        <v>42</v>
      </c>
      <c r="E510" t="s">
        <v>29</v>
      </c>
      <c r="F510">
        <v>162.88</v>
      </c>
      <c r="G510">
        <v>143.86000000000001</v>
      </c>
      <c r="H510" t="str">
        <f>IFERROR(VLOOKUP(C510,Sheet4!B:C,2,0),"")</f>
        <v/>
      </c>
    </row>
    <row r="511" spans="1:8" x14ac:dyDescent="0.35">
      <c r="A511" t="s">
        <v>7</v>
      </c>
      <c r="B511" t="s">
        <v>8</v>
      </c>
      <c r="C511" t="s">
        <v>233</v>
      </c>
      <c r="D511" t="s">
        <v>42</v>
      </c>
      <c r="E511" t="s">
        <v>10</v>
      </c>
      <c r="F511">
        <v>96751.17</v>
      </c>
      <c r="G511">
        <v>83010.039999999994</v>
      </c>
      <c r="H511" t="str">
        <f>IFERROR(VLOOKUP(C511,Sheet4!B:C,2,0),"")</f>
        <v/>
      </c>
    </row>
    <row r="512" spans="1:8" x14ac:dyDescent="0.35">
      <c r="A512" t="s">
        <v>7</v>
      </c>
      <c r="B512" t="s">
        <v>8</v>
      </c>
      <c r="C512" t="s">
        <v>233</v>
      </c>
      <c r="D512" t="s">
        <v>42</v>
      </c>
      <c r="E512" t="s">
        <v>11</v>
      </c>
      <c r="F512">
        <v>31110.2</v>
      </c>
      <c r="G512">
        <v>26327.02</v>
      </c>
      <c r="H512" t="str">
        <f>IFERROR(VLOOKUP(C512,Sheet4!B:C,2,0),"")</f>
        <v/>
      </c>
    </row>
    <row r="513" spans="1:8" x14ac:dyDescent="0.35">
      <c r="A513" t="s">
        <v>7</v>
      </c>
      <c r="B513" t="s">
        <v>8</v>
      </c>
      <c r="C513" t="s">
        <v>233</v>
      </c>
      <c r="D513" t="s">
        <v>42</v>
      </c>
      <c r="E513" t="s">
        <v>12</v>
      </c>
      <c r="G513">
        <v>143.86000000000001</v>
      </c>
      <c r="H513" t="str">
        <f>IFERROR(VLOOKUP(C513,Sheet4!B:C,2,0),"")</f>
        <v/>
      </c>
    </row>
    <row r="514" spans="1:8" x14ac:dyDescent="0.35">
      <c r="A514" t="s">
        <v>7</v>
      </c>
      <c r="B514" t="s">
        <v>8</v>
      </c>
      <c r="C514" t="s">
        <v>234</v>
      </c>
      <c r="D514" t="s">
        <v>43</v>
      </c>
      <c r="E514" t="s">
        <v>29</v>
      </c>
      <c r="F514">
        <v>-39.93</v>
      </c>
      <c r="G514">
        <v>-231.33</v>
      </c>
      <c r="H514" t="str">
        <f>IFERROR(VLOOKUP(C514,Sheet4!B:C,2,0),"")</f>
        <v/>
      </c>
    </row>
    <row r="515" spans="1:8" x14ac:dyDescent="0.35">
      <c r="A515" t="s">
        <v>7</v>
      </c>
      <c r="B515" t="s">
        <v>8</v>
      </c>
      <c r="C515" t="s">
        <v>234</v>
      </c>
      <c r="D515" t="s">
        <v>43</v>
      </c>
      <c r="E515" t="s">
        <v>10</v>
      </c>
      <c r="F515">
        <v>198510.54</v>
      </c>
      <c r="G515">
        <v>231827.39</v>
      </c>
      <c r="H515" t="str">
        <f>IFERROR(VLOOKUP(C515,Sheet4!B:C,2,0),"")</f>
        <v/>
      </c>
    </row>
    <row r="516" spans="1:8" x14ac:dyDescent="0.35">
      <c r="A516" t="s">
        <v>7</v>
      </c>
      <c r="B516" t="s">
        <v>8</v>
      </c>
      <c r="C516" t="s">
        <v>234</v>
      </c>
      <c r="D516" t="s">
        <v>43</v>
      </c>
      <c r="E516" t="s">
        <v>11</v>
      </c>
      <c r="F516">
        <v>35559.040000000001</v>
      </c>
      <c r="G516">
        <v>5759.44</v>
      </c>
      <c r="H516" t="str">
        <f>IFERROR(VLOOKUP(C516,Sheet4!B:C,2,0),"")</f>
        <v/>
      </c>
    </row>
    <row r="517" spans="1:8" x14ac:dyDescent="0.35">
      <c r="A517" t="s">
        <v>7</v>
      </c>
      <c r="B517" t="s">
        <v>8</v>
      </c>
      <c r="C517" t="s">
        <v>234</v>
      </c>
      <c r="D517" t="s">
        <v>43</v>
      </c>
      <c r="E517" t="s">
        <v>12</v>
      </c>
      <c r="F517">
        <v>48853.919999999998</v>
      </c>
      <c r="G517">
        <v>37794.82</v>
      </c>
      <c r="H517" t="str">
        <f>IFERROR(VLOOKUP(C517,Sheet4!B:C,2,0),"")</f>
        <v/>
      </c>
    </row>
    <row r="518" spans="1:8" x14ac:dyDescent="0.35">
      <c r="A518" t="s">
        <v>7</v>
      </c>
      <c r="B518" t="s">
        <v>8</v>
      </c>
      <c r="C518" t="s">
        <v>235</v>
      </c>
      <c r="D518" t="s">
        <v>44</v>
      </c>
      <c r="E518" t="s">
        <v>29</v>
      </c>
      <c r="F518">
        <v>1.5</v>
      </c>
      <c r="G518">
        <v>234</v>
      </c>
      <c r="H518" t="str">
        <f>IFERROR(VLOOKUP(C518,Sheet4!B:C,2,0),"")</f>
        <v/>
      </c>
    </row>
    <row r="519" spans="1:8" x14ac:dyDescent="0.35">
      <c r="A519" t="s">
        <v>7</v>
      </c>
      <c r="B519" t="s">
        <v>8</v>
      </c>
      <c r="C519" t="s">
        <v>235</v>
      </c>
      <c r="D519" t="s">
        <v>44</v>
      </c>
      <c r="E519" t="s">
        <v>10</v>
      </c>
      <c r="F519">
        <v>139527.34</v>
      </c>
      <c r="G519">
        <v>59158.2</v>
      </c>
      <c r="H519" t="str">
        <f>IFERROR(VLOOKUP(C519,Sheet4!B:C,2,0),"")</f>
        <v/>
      </c>
    </row>
    <row r="520" spans="1:8" x14ac:dyDescent="0.35">
      <c r="A520" t="s">
        <v>7</v>
      </c>
      <c r="B520" t="s">
        <v>8</v>
      </c>
      <c r="C520" t="s">
        <v>235</v>
      </c>
      <c r="D520" t="s">
        <v>44</v>
      </c>
      <c r="E520" t="s">
        <v>11</v>
      </c>
      <c r="F520">
        <v>14781.39</v>
      </c>
      <c r="G520">
        <v>-39060.160000000003</v>
      </c>
      <c r="H520" t="str">
        <f>IFERROR(VLOOKUP(C520,Sheet4!B:C,2,0),"")</f>
        <v/>
      </c>
    </row>
    <row r="521" spans="1:8" x14ac:dyDescent="0.35">
      <c r="A521" t="s">
        <v>7</v>
      </c>
      <c r="B521" t="s">
        <v>8</v>
      </c>
      <c r="C521" t="s">
        <v>235</v>
      </c>
      <c r="D521" t="s">
        <v>44</v>
      </c>
      <c r="E521" t="s">
        <v>12</v>
      </c>
      <c r="F521">
        <v>-211173.06</v>
      </c>
      <c r="G521">
        <v>-67681.320000000007</v>
      </c>
      <c r="H521" t="str">
        <f>IFERROR(VLOOKUP(C521,Sheet4!B:C,2,0),"")</f>
        <v/>
      </c>
    </row>
    <row r="522" spans="1:8" x14ac:dyDescent="0.35">
      <c r="A522" t="s">
        <v>7</v>
      </c>
      <c r="B522" t="s">
        <v>8</v>
      </c>
      <c r="C522" t="s">
        <v>342</v>
      </c>
      <c r="D522" t="s">
        <v>180</v>
      </c>
      <c r="E522" t="s">
        <v>10</v>
      </c>
      <c r="F522">
        <v>2362.83</v>
      </c>
      <c r="G522">
        <v>-16.920000000000002</v>
      </c>
      <c r="H522" t="str">
        <f>IFERROR(VLOOKUP(C522,Sheet4!B:C,2,0),"")</f>
        <v/>
      </c>
    </row>
    <row r="523" spans="1:8" x14ac:dyDescent="0.35">
      <c r="A523" t="s">
        <v>7</v>
      </c>
      <c r="B523" t="s">
        <v>8</v>
      </c>
      <c r="C523" t="s">
        <v>342</v>
      </c>
      <c r="D523" t="s">
        <v>180</v>
      </c>
      <c r="E523" t="s">
        <v>11</v>
      </c>
      <c r="F523">
        <v>35686.82</v>
      </c>
      <c r="G523">
        <v>57286.77</v>
      </c>
      <c r="H523" t="str">
        <f>IFERROR(VLOOKUP(C523,Sheet4!B:C,2,0),"")</f>
        <v/>
      </c>
    </row>
    <row r="524" spans="1:8" x14ac:dyDescent="0.35">
      <c r="A524" t="s">
        <v>7</v>
      </c>
      <c r="B524" t="s">
        <v>8</v>
      </c>
      <c r="C524" t="s">
        <v>342</v>
      </c>
      <c r="D524" t="s">
        <v>180</v>
      </c>
      <c r="E524" t="s">
        <v>30</v>
      </c>
      <c r="F524">
        <v>139560.34</v>
      </c>
      <c r="G524">
        <v>99295.43</v>
      </c>
      <c r="H524" t="str">
        <f>IFERROR(VLOOKUP(C524,Sheet4!B:C,2,0),"")</f>
        <v/>
      </c>
    </row>
    <row r="525" spans="1:8" x14ac:dyDescent="0.35">
      <c r="A525" t="s">
        <v>7</v>
      </c>
      <c r="B525" t="s">
        <v>8</v>
      </c>
      <c r="C525" t="s">
        <v>342</v>
      </c>
      <c r="D525" t="s">
        <v>180</v>
      </c>
      <c r="E525" t="s">
        <v>12</v>
      </c>
      <c r="F525">
        <v>-183.1</v>
      </c>
      <c r="H525" t="str">
        <f>IFERROR(VLOOKUP(C525,Sheet4!B:C,2,0),"")</f>
        <v/>
      </c>
    </row>
    <row r="526" spans="1:8" x14ac:dyDescent="0.35">
      <c r="A526" t="s">
        <v>7</v>
      </c>
      <c r="B526" t="s">
        <v>8</v>
      </c>
      <c r="C526" t="s">
        <v>244</v>
      </c>
      <c r="D526" t="s">
        <v>53</v>
      </c>
      <c r="E526" t="s">
        <v>10</v>
      </c>
      <c r="F526">
        <v>251.55</v>
      </c>
      <c r="G526">
        <v>7.58</v>
      </c>
      <c r="H526" t="str">
        <f>IFERROR(VLOOKUP(C526,Sheet4!B:C,2,0),"")</f>
        <v/>
      </c>
    </row>
    <row r="527" spans="1:8" x14ac:dyDescent="0.35">
      <c r="A527" t="s">
        <v>7</v>
      </c>
      <c r="B527" t="s">
        <v>8</v>
      </c>
      <c r="C527" t="s">
        <v>244</v>
      </c>
      <c r="D527" t="s">
        <v>53</v>
      </c>
      <c r="E527" t="s">
        <v>11</v>
      </c>
      <c r="F527">
        <v>5320.31</v>
      </c>
      <c r="G527">
        <v>12566.53</v>
      </c>
      <c r="H527" t="str">
        <f>IFERROR(VLOOKUP(C527,Sheet4!B:C,2,0),"")</f>
        <v/>
      </c>
    </row>
    <row r="528" spans="1:8" x14ac:dyDescent="0.35">
      <c r="A528" t="s">
        <v>7</v>
      </c>
      <c r="B528" t="s">
        <v>8</v>
      </c>
      <c r="C528" t="s">
        <v>244</v>
      </c>
      <c r="D528" t="s">
        <v>53</v>
      </c>
      <c r="E528" t="s">
        <v>30</v>
      </c>
      <c r="F528">
        <v>43750</v>
      </c>
      <c r="G528">
        <v>71908.34</v>
      </c>
      <c r="H528" t="str">
        <f>IFERROR(VLOOKUP(C528,Sheet4!B:C,2,0),"")</f>
        <v/>
      </c>
    </row>
    <row r="529" spans="1:8" x14ac:dyDescent="0.35">
      <c r="A529" t="s">
        <v>7</v>
      </c>
      <c r="B529" t="s">
        <v>8</v>
      </c>
      <c r="C529" t="s">
        <v>245</v>
      </c>
      <c r="D529" t="s">
        <v>54</v>
      </c>
      <c r="E529" t="s">
        <v>10</v>
      </c>
      <c r="F529">
        <v>1066.32</v>
      </c>
      <c r="H529" t="str">
        <f>IFERROR(VLOOKUP(C529,Sheet4!B:C,2,0),"")</f>
        <v/>
      </c>
    </row>
    <row r="530" spans="1:8" x14ac:dyDescent="0.35">
      <c r="A530" t="s">
        <v>7</v>
      </c>
      <c r="B530" t="s">
        <v>8</v>
      </c>
      <c r="C530" t="s">
        <v>245</v>
      </c>
      <c r="D530" t="s">
        <v>54</v>
      </c>
      <c r="E530" t="s">
        <v>11</v>
      </c>
      <c r="F530">
        <v>4000.19</v>
      </c>
      <c r="G530">
        <v>334.32</v>
      </c>
      <c r="H530" t="str">
        <f>IFERROR(VLOOKUP(C530,Sheet4!B:C,2,0),"")</f>
        <v/>
      </c>
    </row>
    <row r="531" spans="1:8" x14ac:dyDescent="0.35">
      <c r="A531" t="s">
        <v>7</v>
      </c>
      <c r="B531" t="s">
        <v>8</v>
      </c>
      <c r="C531" t="s">
        <v>245</v>
      </c>
      <c r="D531" t="s">
        <v>54</v>
      </c>
      <c r="E531" t="s">
        <v>30</v>
      </c>
      <c r="F531">
        <v>1562.5</v>
      </c>
      <c r="G531">
        <v>-2365</v>
      </c>
      <c r="H531" t="str">
        <f>IFERROR(VLOOKUP(C531,Sheet4!B:C,2,0),"")</f>
        <v/>
      </c>
    </row>
    <row r="532" spans="1:8" x14ac:dyDescent="0.35">
      <c r="A532" t="s">
        <v>7</v>
      </c>
      <c r="B532" t="s">
        <v>8</v>
      </c>
      <c r="C532" t="s">
        <v>247</v>
      </c>
      <c r="D532" t="s">
        <v>56</v>
      </c>
      <c r="E532" t="s">
        <v>11</v>
      </c>
      <c r="G532">
        <v>24.59</v>
      </c>
      <c r="H532" t="str">
        <f>IFERROR(VLOOKUP(C532,Sheet4!B:C,2,0),"")</f>
        <v/>
      </c>
    </row>
    <row r="533" spans="1:8" x14ac:dyDescent="0.35">
      <c r="A533" t="s">
        <v>7</v>
      </c>
      <c r="B533" t="s">
        <v>8</v>
      </c>
      <c r="C533" t="s">
        <v>248</v>
      </c>
      <c r="D533" t="s">
        <v>57</v>
      </c>
      <c r="E533" t="s">
        <v>11</v>
      </c>
      <c r="F533">
        <v>483.56</v>
      </c>
      <c r="G533">
        <v>-154.56</v>
      </c>
      <c r="H533" t="str">
        <f>IFERROR(VLOOKUP(C533,Sheet4!B:C,2,0),"")</f>
        <v/>
      </c>
    </row>
    <row r="534" spans="1:8" x14ac:dyDescent="0.35">
      <c r="A534" t="s">
        <v>7</v>
      </c>
      <c r="B534" t="s">
        <v>8</v>
      </c>
      <c r="C534" t="s">
        <v>248</v>
      </c>
      <c r="D534" t="s">
        <v>57</v>
      </c>
      <c r="E534" t="s">
        <v>30</v>
      </c>
      <c r="F534">
        <v>22298.5</v>
      </c>
      <c r="G534">
        <v>27387.09</v>
      </c>
      <c r="H534" t="str">
        <f>IFERROR(VLOOKUP(C534,Sheet4!B:C,2,0),"")</f>
        <v/>
      </c>
    </row>
    <row r="535" spans="1:8" x14ac:dyDescent="0.35">
      <c r="A535" t="s">
        <v>7</v>
      </c>
      <c r="B535" t="s">
        <v>8</v>
      </c>
      <c r="C535" t="s">
        <v>249</v>
      </c>
      <c r="D535" t="s">
        <v>58</v>
      </c>
      <c r="E535" t="s">
        <v>11</v>
      </c>
      <c r="G535">
        <v>7.35</v>
      </c>
      <c r="H535" t="str">
        <f>IFERROR(VLOOKUP(C535,Sheet4!B:C,2,0),"")</f>
        <v/>
      </c>
    </row>
    <row r="536" spans="1:8" x14ac:dyDescent="0.35">
      <c r="A536" t="s">
        <v>7</v>
      </c>
      <c r="B536" t="s">
        <v>8</v>
      </c>
      <c r="C536" t="s">
        <v>250</v>
      </c>
      <c r="D536" t="s">
        <v>59</v>
      </c>
      <c r="E536" t="s">
        <v>11</v>
      </c>
      <c r="F536">
        <v>25762.37</v>
      </c>
      <c r="G536">
        <v>43508.83</v>
      </c>
      <c r="H536" t="str">
        <f>IFERROR(VLOOKUP(C536,Sheet4!B:C,2,0),"")</f>
        <v/>
      </c>
    </row>
    <row r="537" spans="1:8" x14ac:dyDescent="0.35">
      <c r="A537" t="s">
        <v>7</v>
      </c>
      <c r="B537" t="s">
        <v>8</v>
      </c>
      <c r="C537" t="s">
        <v>250</v>
      </c>
      <c r="D537" t="s">
        <v>59</v>
      </c>
      <c r="E537" t="s">
        <v>30</v>
      </c>
      <c r="F537">
        <v>71949.34</v>
      </c>
      <c r="G537">
        <v>2365</v>
      </c>
      <c r="H537" t="str">
        <f>IFERROR(VLOOKUP(C537,Sheet4!B:C,2,0),"")</f>
        <v/>
      </c>
    </row>
    <row r="538" spans="1:8" x14ac:dyDescent="0.35">
      <c r="A538" t="s">
        <v>7</v>
      </c>
      <c r="B538" t="s">
        <v>8</v>
      </c>
      <c r="C538" t="s">
        <v>251</v>
      </c>
      <c r="D538" t="s">
        <v>60</v>
      </c>
      <c r="E538" t="s">
        <v>10</v>
      </c>
      <c r="F538">
        <v>978.79</v>
      </c>
      <c r="H538" t="str">
        <f>IFERROR(VLOOKUP(C538,Sheet4!B:C,2,0),"")</f>
        <v/>
      </c>
    </row>
    <row r="539" spans="1:8" x14ac:dyDescent="0.35">
      <c r="A539" t="s">
        <v>7</v>
      </c>
      <c r="B539" t="s">
        <v>8</v>
      </c>
      <c r="C539" t="s">
        <v>251</v>
      </c>
      <c r="D539" t="s">
        <v>60</v>
      </c>
      <c r="E539" t="s">
        <v>11</v>
      </c>
      <c r="F539">
        <v>1179.3</v>
      </c>
      <c r="G539">
        <v>1245.44</v>
      </c>
      <c r="H539" t="str">
        <f>IFERROR(VLOOKUP(C539,Sheet4!B:C,2,0),"")</f>
        <v/>
      </c>
    </row>
    <row r="540" spans="1:8" x14ac:dyDescent="0.35">
      <c r="A540" t="s">
        <v>7</v>
      </c>
      <c r="B540" t="s">
        <v>8</v>
      </c>
      <c r="C540" t="s">
        <v>252</v>
      </c>
      <c r="D540" t="s">
        <v>61</v>
      </c>
      <c r="E540" t="s">
        <v>10</v>
      </c>
      <c r="F540">
        <v>66.17</v>
      </c>
      <c r="G540">
        <v>-24.5</v>
      </c>
      <c r="H540" t="str">
        <f>IFERROR(VLOOKUP(C540,Sheet4!B:C,2,0),"")</f>
        <v/>
      </c>
    </row>
    <row r="541" spans="1:8" x14ac:dyDescent="0.35">
      <c r="A541" t="s">
        <v>7</v>
      </c>
      <c r="B541" t="s">
        <v>8</v>
      </c>
      <c r="C541" t="s">
        <v>252</v>
      </c>
      <c r="D541" t="s">
        <v>61</v>
      </c>
      <c r="E541" t="s">
        <v>11</v>
      </c>
      <c r="F541">
        <v>-1242.01</v>
      </c>
      <c r="G541">
        <v>49.54</v>
      </c>
      <c r="H541" t="str">
        <f>IFERROR(VLOOKUP(C541,Sheet4!B:C,2,0),"")</f>
        <v/>
      </c>
    </row>
    <row r="542" spans="1:8" x14ac:dyDescent="0.35">
      <c r="A542" t="s">
        <v>7</v>
      </c>
      <c r="B542" t="s">
        <v>8</v>
      </c>
      <c r="C542" t="s">
        <v>254</v>
      </c>
      <c r="D542" t="s">
        <v>63</v>
      </c>
      <c r="E542" t="s">
        <v>11</v>
      </c>
      <c r="F542">
        <v>183.1</v>
      </c>
      <c r="G542">
        <v>-295.27</v>
      </c>
      <c r="H542" t="str">
        <f>IFERROR(VLOOKUP(C542,Sheet4!B:C,2,0),"")</f>
        <v/>
      </c>
    </row>
    <row r="543" spans="1:8" x14ac:dyDescent="0.35">
      <c r="A543" t="s">
        <v>7</v>
      </c>
      <c r="B543" t="s">
        <v>8</v>
      </c>
      <c r="C543" t="s">
        <v>254</v>
      </c>
      <c r="D543" t="s">
        <v>63</v>
      </c>
      <c r="E543" t="s">
        <v>12</v>
      </c>
      <c r="F543">
        <v>-183.1</v>
      </c>
      <c r="H543" t="str">
        <f>IFERROR(VLOOKUP(C543,Sheet4!B:C,2,0),"")</f>
        <v/>
      </c>
    </row>
    <row r="544" spans="1:8" x14ac:dyDescent="0.35">
      <c r="A544" t="s">
        <v>7</v>
      </c>
      <c r="B544" t="s">
        <v>8</v>
      </c>
      <c r="C544" t="s">
        <v>343</v>
      </c>
      <c r="D544" t="s">
        <v>188</v>
      </c>
      <c r="E544" t="s">
        <v>29</v>
      </c>
      <c r="F544">
        <v>473.03</v>
      </c>
      <c r="G544">
        <v>34.22</v>
      </c>
      <c r="H544" t="str">
        <f>IFERROR(VLOOKUP(C544,Sheet4!B:C,2,0),"")</f>
        <v/>
      </c>
    </row>
    <row r="545" spans="1:8" x14ac:dyDescent="0.35">
      <c r="A545" t="s">
        <v>7</v>
      </c>
      <c r="B545" t="s">
        <v>8</v>
      </c>
      <c r="C545" t="s">
        <v>343</v>
      </c>
      <c r="D545" t="s">
        <v>188</v>
      </c>
      <c r="E545" t="s">
        <v>10</v>
      </c>
      <c r="F545">
        <v>3841.73</v>
      </c>
      <c r="G545">
        <v>773.21</v>
      </c>
      <c r="H545" t="str">
        <f>IFERROR(VLOOKUP(C545,Sheet4!B:C,2,0),"")</f>
        <v/>
      </c>
    </row>
    <row r="546" spans="1:8" x14ac:dyDescent="0.35">
      <c r="A546" t="s">
        <v>7</v>
      </c>
      <c r="B546" t="s">
        <v>8</v>
      </c>
      <c r="C546" t="s">
        <v>343</v>
      </c>
      <c r="D546" t="s">
        <v>188</v>
      </c>
      <c r="E546" t="s">
        <v>11</v>
      </c>
      <c r="F546">
        <v>27856.81</v>
      </c>
      <c r="G546">
        <v>5353.19</v>
      </c>
      <c r="H546" t="str">
        <f>IFERROR(VLOOKUP(C546,Sheet4!B:C,2,0),"")</f>
        <v/>
      </c>
    </row>
    <row r="547" spans="1:8" x14ac:dyDescent="0.35">
      <c r="A547" t="s">
        <v>7</v>
      </c>
      <c r="B547" t="s">
        <v>8</v>
      </c>
      <c r="C547" t="s">
        <v>343</v>
      </c>
      <c r="D547" t="s">
        <v>188</v>
      </c>
      <c r="E547" t="s">
        <v>12</v>
      </c>
      <c r="F547">
        <v>9643.58</v>
      </c>
      <c r="G547">
        <v>9286.8700000000008</v>
      </c>
      <c r="H547" t="str">
        <f>IFERROR(VLOOKUP(C547,Sheet4!B:C,2,0),"")</f>
        <v/>
      </c>
    </row>
    <row r="548" spans="1:8" x14ac:dyDescent="0.35">
      <c r="A548" t="s">
        <v>7</v>
      </c>
      <c r="B548" t="s">
        <v>8</v>
      </c>
      <c r="C548" t="s">
        <v>241</v>
      </c>
      <c r="D548" t="s">
        <v>50</v>
      </c>
      <c r="E548" t="s">
        <v>29</v>
      </c>
      <c r="F548">
        <v>473.03</v>
      </c>
      <c r="G548">
        <v>34.22</v>
      </c>
      <c r="H548" t="str">
        <f>IFERROR(VLOOKUP(C548,Sheet4!B:C,2,0),"")</f>
        <v/>
      </c>
    </row>
    <row r="549" spans="1:8" x14ac:dyDescent="0.35">
      <c r="A549" t="s">
        <v>7</v>
      </c>
      <c r="B549" t="s">
        <v>8</v>
      </c>
      <c r="C549" t="s">
        <v>241</v>
      </c>
      <c r="D549" t="s">
        <v>50</v>
      </c>
      <c r="E549" t="s">
        <v>10</v>
      </c>
      <c r="F549">
        <v>3892.86</v>
      </c>
      <c r="G549">
        <v>674.64</v>
      </c>
      <c r="H549" t="str">
        <f>IFERROR(VLOOKUP(C549,Sheet4!B:C,2,0),"")</f>
        <v/>
      </c>
    </row>
    <row r="550" spans="1:8" x14ac:dyDescent="0.35">
      <c r="A550" t="s">
        <v>7</v>
      </c>
      <c r="B550" t="s">
        <v>8</v>
      </c>
      <c r="C550" t="s">
        <v>241</v>
      </c>
      <c r="D550" t="s">
        <v>50</v>
      </c>
      <c r="E550" t="s">
        <v>11</v>
      </c>
      <c r="F550">
        <v>27652.6</v>
      </c>
      <c r="G550">
        <v>5353.19</v>
      </c>
      <c r="H550" t="str">
        <f>IFERROR(VLOOKUP(C550,Sheet4!B:C,2,0),"")</f>
        <v/>
      </c>
    </row>
    <row r="551" spans="1:8" x14ac:dyDescent="0.35">
      <c r="A551" t="s">
        <v>7</v>
      </c>
      <c r="B551" t="s">
        <v>8</v>
      </c>
      <c r="C551" t="s">
        <v>241</v>
      </c>
      <c r="D551" t="s">
        <v>50</v>
      </c>
      <c r="E551" t="s">
        <v>12</v>
      </c>
      <c r="F551">
        <v>9643.58</v>
      </c>
      <c r="G551">
        <v>9286.8700000000008</v>
      </c>
      <c r="H551" t="str">
        <f>IFERROR(VLOOKUP(C551,Sheet4!B:C,2,0),"")</f>
        <v/>
      </c>
    </row>
    <row r="552" spans="1:8" x14ac:dyDescent="0.35">
      <c r="A552" t="s">
        <v>7</v>
      </c>
      <c r="B552" t="s">
        <v>8</v>
      </c>
      <c r="C552" t="s">
        <v>242</v>
      </c>
      <c r="D552" t="s">
        <v>51</v>
      </c>
      <c r="E552" t="s">
        <v>10</v>
      </c>
      <c r="F552">
        <v>-51.13</v>
      </c>
      <c r="G552">
        <v>98.57</v>
      </c>
      <c r="H552" t="str">
        <f>IFERROR(VLOOKUP(C552,Sheet4!B:C,2,0),"")</f>
        <v/>
      </c>
    </row>
    <row r="553" spans="1:8" x14ac:dyDescent="0.35">
      <c r="A553" t="s">
        <v>7</v>
      </c>
      <c r="B553" t="s">
        <v>8</v>
      </c>
      <c r="C553" t="s">
        <v>242</v>
      </c>
      <c r="D553" t="s">
        <v>51</v>
      </c>
      <c r="E553" t="s">
        <v>11</v>
      </c>
      <c r="F553">
        <v>204.21</v>
      </c>
      <c r="H553" t="str">
        <f>IFERROR(VLOOKUP(C553,Sheet4!B:C,2,0),"")</f>
        <v/>
      </c>
    </row>
    <row r="554" spans="1:8" x14ac:dyDescent="0.35">
      <c r="A554" t="s">
        <v>7</v>
      </c>
      <c r="B554" t="s">
        <v>8</v>
      </c>
      <c r="C554" t="s">
        <v>344</v>
      </c>
      <c r="D554" t="s">
        <v>345</v>
      </c>
      <c r="E554" t="s">
        <v>10</v>
      </c>
      <c r="H554" t="str">
        <f>IFERROR(VLOOKUP(C554,Sheet4!B:C,2,0),"")</f>
        <v/>
      </c>
    </row>
    <row r="555" spans="1:8" x14ac:dyDescent="0.35">
      <c r="A555" t="s">
        <v>7</v>
      </c>
      <c r="B555" t="s">
        <v>8</v>
      </c>
      <c r="C555" t="s">
        <v>344</v>
      </c>
      <c r="D555" t="s">
        <v>345</v>
      </c>
      <c r="E555" t="s">
        <v>11</v>
      </c>
      <c r="H555" t="str">
        <f>IFERROR(VLOOKUP(C555,Sheet4!B:C,2,0),"")</f>
        <v/>
      </c>
    </row>
    <row r="556" spans="1:8" x14ac:dyDescent="0.35">
      <c r="A556" t="s">
        <v>7</v>
      </c>
      <c r="B556" t="s">
        <v>8</v>
      </c>
      <c r="C556" t="s">
        <v>346</v>
      </c>
      <c r="D556" t="s">
        <v>181</v>
      </c>
      <c r="E556" t="s">
        <v>29</v>
      </c>
      <c r="H556" t="str">
        <f>IFERROR(VLOOKUP(C556,Sheet4!B:C,2,0),"")</f>
        <v/>
      </c>
    </row>
    <row r="557" spans="1:8" x14ac:dyDescent="0.35">
      <c r="A557" t="s">
        <v>7</v>
      </c>
      <c r="B557" t="s">
        <v>8</v>
      </c>
      <c r="C557" t="s">
        <v>346</v>
      </c>
      <c r="D557" t="s">
        <v>181</v>
      </c>
      <c r="E557" t="s">
        <v>10</v>
      </c>
      <c r="H557" t="str">
        <f>IFERROR(VLOOKUP(C557,Sheet4!B:C,2,0),"")</f>
        <v/>
      </c>
    </row>
    <row r="558" spans="1:8" x14ac:dyDescent="0.35">
      <c r="A558" t="s">
        <v>7</v>
      </c>
      <c r="B558" t="s">
        <v>8</v>
      </c>
      <c r="C558" t="s">
        <v>346</v>
      </c>
      <c r="D558" t="s">
        <v>181</v>
      </c>
      <c r="E558" t="s">
        <v>12</v>
      </c>
      <c r="F558">
        <v>22363.58</v>
      </c>
      <c r="G558">
        <v>21920.83</v>
      </c>
      <c r="H558" t="str">
        <f>IFERROR(VLOOKUP(C558,Sheet4!B:C,2,0),"")</f>
        <v/>
      </c>
    </row>
    <row r="559" spans="1:8" x14ac:dyDescent="0.35">
      <c r="A559" t="s">
        <v>7</v>
      </c>
      <c r="B559" t="s">
        <v>8</v>
      </c>
      <c r="C559" t="s">
        <v>255</v>
      </c>
      <c r="D559" t="s">
        <v>64</v>
      </c>
      <c r="E559" t="s">
        <v>12</v>
      </c>
      <c r="F559">
        <v>22363.58</v>
      </c>
      <c r="G559">
        <v>21920.83</v>
      </c>
      <c r="H559" t="str">
        <f>IFERROR(VLOOKUP(C559,Sheet4!B:C,2,0),"")</f>
        <v/>
      </c>
    </row>
    <row r="560" spans="1:8" x14ac:dyDescent="0.35">
      <c r="A560" t="s">
        <v>7</v>
      </c>
      <c r="B560" t="s">
        <v>8</v>
      </c>
      <c r="C560" t="s">
        <v>347</v>
      </c>
      <c r="D560" t="s">
        <v>186</v>
      </c>
      <c r="E560" t="s">
        <v>29</v>
      </c>
      <c r="F560">
        <v>7285.25</v>
      </c>
      <c r="G560">
        <v>3350</v>
      </c>
      <c r="H560" t="str">
        <f>IFERROR(VLOOKUP(C560,Sheet4!B:C,2,0),"")</f>
        <v/>
      </c>
    </row>
    <row r="561" spans="1:8" x14ac:dyDescent="0.35">
      <c r="A561" t="s">
        <v>7</v>
      </c>
      <c r="B561" t="s">
        <v>8</v>
      </c>
      <c r="C561" t="s">
        <v>347</v>
      </c>
      <c r="D561" t="s">
        <v>186</v>
      </c>
      <c r="E561" t="s">
        <v>10</v>
      </c>
      <c r="F561">
        <v>38966.78</v>
      </c>
      <c r="G561">
        <v>30131.64</v>
      </c>
      <c r="H561" t="str">
        <f>IFERROR(VLOOKUP(C561,Sheet4!B:C,2,0),"")</f>
        <v/>
      </c>
    </row>
    <row r="562" spans="1:8" x14ac:dyDescent="0.35">
      <c r="A562" t="s">
        <v>7</v>
      </c>
      <c r="B562" t="s">
        <v>8</v>
      </c>
      <c r="C562" t="s">
        <v>347</v>
      </c>
      <c r="D562" t="s">
        <v>186</v>
      </c>
      <c r="E562" t="s">
        <v>11</v>
      </c>
      <c r="F562">
        <v>27562.63</v>
      </c>
      <c r="G562">
        <v>16867.189999999999</v>
      </c>
      <c r="H562" t="str">
        <f>IFERROR(VLOOKUP(C562,Sheet4!B:C,2,0),"")</f>
        <v/>
      </c>
    </row>
    <row r="563" spans="1:8" x14ac:dyDescent="0.35">
      <c r="A563" t="s">
        <v>7</v>
      </c>
      <c r="B563" t="s">
        <v>8</v>
      </c>
      <c r="C563" t="s">
        <v>347</v>
      </c>
      <c r="D563" t="s">
        <v>186</v>
      </c>
      <c r="E563" t="s">
        <v>12</v>
      </c>
      <c r="F563">
        <v>15095</v>
      </c>
      <c r="G563">
        <v>22555.66</v>
      </c>
      <c r="H563" t="str">
        <f>IFERROR(VLOOKUP(C563,Sheet4!B:C,2,0),"")</f>
        <v/>
      </c>
    </row>
    <row r="564" spans="1:8" x14ac:dyDescent="0.35">
      <c r="A564" t="s">
        <v>7</v>
      </c>
      <c r="B564" t="s">
        <v>8</v>
      </c>
      <c r="C564" t="s">
        <v>258</v>
      </c>
      <c r="D564" t="s">
        <v>67</v>
      </c>
      <c r="E564" t="s">
        <v>10</v>
      </c>
      <c r="F564">
        <v>28298</v>
      </c>
      <c r="G564">
        <v>10797</v>
      </c>
      <c r="H564" t="str">
        <f>IFERROR(VLOOKUP(C564,Sheet4!B:C,2,0),"")</f>
        <v/>
      </c>
    </row>
    <row r="565" spans="1:8" x14ac:dyDescent="0.35">
      <c r="A565" t="s">
        <v>7</v>
      </c>
      <c r="B565" t="s">
        <v>8</v>
      </c>
      <c r="C565" t="s">
        <v>258</v>
      </c>
      <c r="D565" t="s">
        <v>67</v>
      </c>
      <c r="E565" t="s">
        <v>11</v>
      </c>
      <c r="F565">
        <v>14826.45</v>
      </c>
      <c r="G565">
        <v>11307.77</v>
      </c>
      <c r="H565" t="str">
        <f>IFERROR(VLOOKUP(C565,Sheet4!B:C,2,0),"")</f>
        <v/>
      </c>
    </row>
    <row r="566" spans="1:8" x14ac:dyDescent="0.35">
      <c r="A566" t="s">
        <v>7</v>
      </c>
      <c r="B566" t="s">
        <v>8</v>
      </c>
      <c r="C566" t="s">
        <v>258</v>
      </c>
      <c r="D566" t="s">
        <v>67</v>
      </c>
      <c r="E566" t="s">
        <v>12</v>
      </c>
      <c r="F566">
        <v>7574.5</v>
      </c>
      <c r="G566">
        <v>7474.5</v>
      </c>
      <c r="H566" t="str">
        <f>IFERROR(VLOOKUP(C566,Sheet4!B:C,2,0),"")</f>
        <v/>
      </c>
    </row>
    <row r="567" spans="1:8" x14ac:dyDescent="0.35">
      <c r="A567" t="s">
        <v>7</v>
      </c>
      <c r="B567" t="s">
        <v>8</v>
      </c>
      <c r="C567" t="s">
        <v>259</v>
      </c>
      <c r="D567" t="s">
        <v>68</v>
      </c>
      <c r="E567" t="s">
        <v>10</v>
      </c>
      <c r="F567">
        <v>839.18</v>
      </c>
      <c r="H567" t="str">
        <f>IFERROR(VLOOKUP(C567,Sheet4!B:C,2,0),"")</f>
        <v/>
      </c>
    </row>
    <row r="568" spans="1:8" x14ac:dyDescent="0.35">
      <c r="A568" t="s">
        <v>7</v>
      </c>
      <c r="B568" t="s">
        <v>8</v>
      </c>
      <c r="C568" t="s">
        <v>259</v>
      </c>
      <c r="D568" t="s">
        <v>68</v>
      </c>
      <c r="E568" t="s">
        <v>11</v>
      </c>
      <c r="F568">
        <v>0</v>
      </c>
      <c r="G568">
        <v>260.99</v>
      </c>
      <c r="H568" t="str">
        <f>IFERROR(VLOOKUP(C568,Sheet4!B:C,2,0),"")</f>
        <v/>
      </c>
    </row>
    <row r="569" spans="1:8" x14ac:dyDescent="0.35">
      <c r="A569" t="s">
        <v>7</v>
      </c>
      <c r="B569" t="s">
        <v>8</v>
      </c>
      <c r="C569" t="s">
        <v>260</v>
      </c>
      <c r="D569" t="s">
        <v>69</v>
      </c>
      <c r="E569" t="s">
        <v>10</v>
      </c>
      <c r="F569">
        <v>3603.91</v>
      </c>
      <c r="G569">
        <v>14962.75</v>
      </c>
      <c r="H569" t="str">
        <f>IFERROR(VLOOKUP(C569,Sheet4!B:C,2,0),"")</f>
        <v/>
      </c>
    </row>
    <row r="570" spans="1:8" x14ac:dyDescent="0.35">
      <c r="A570" t="s">
        <v>7</v>
      </c>
      <c r="B570" t="s">
        <v>8</v>
      </c>
      <c r="C570" t="s">
        <v>260</v>
      </c>
      <c r="D570" t="s">
        <v>69</v>
      </c>
      <c r="E570" t="s">
        <v>11</v>
      </c>
      <c r="G570">
        <v>268.38</v>
      </c>
      <c r="H570" t="str">
        <f>IFERROR(VLOOKUP(C570,Sheet4!B:C,2,0),"")</f>
        <v/>
      </c>
    </row>
    <row r="571" spans="1:8" x14ac:dyDescent="0.35">
      <c r="A571" t="s">
        <v>7</v>
      </c>
      <c r="B571" t="s">
        <v>8</v>
      </c>
      <c r="C571" t="s">
        <v>263</v>
      </c>
      <c r="D571" t="s">
        <v>70</v>
      </c>
      <c r="E571" t="s">
        <v>10</v>
      </c>
      <c r="F571">
        <v>4587.58</v>
      </c>
      <c r="G571">
        <v>1011.37</v>
      </c>
      <c r="H571" t="str">
        <f>IFERROR(VLOOKUP(C571,Sheet4!B:C,2,0),"")</f>
        <v/>
      </c>
    </row>
    <row r="572" spans="1:8" x14ac:dyDescent="0.35">
      <c r="A572" t="s">
        <v>7</v>
      </c>
      <c r="B572" t="s">
        <v>8</v>
      </c>
      <c r="C572" t="s">
        <v>263</v>
      </c>
      <c r="D572" t="s">
        <v>70</v>
      </c>
      <c r="E572" t="s">
        <v>11</v>
      </c>
      <c r="F572">
        <v>12280.07</v>
      </c>
      <c r="G572">
        <v>74.88</v>
      </c>
      <c r="H572" t="str">
        <f>IFERROR(VLOOKUP(C572,Sheet4!B:C,2,0),"")</f>
        <v/>
      </c>
    </row>
    <row r="573" spans="1:8" x14ac:dyDescent="0.35">
      <c r="A573" t="s">
        <v>7</v>
      </c>
      <c r="B573" t="s">
        <v>8</v>
      </c>
      <c r="C573" t="s">
        <v>263</v>
      </c>
      <c r="D573" t="s">
        <v>70</v>
      </c>
      <c r="E573" t="s">
        <v>12</v>
      </c>
      <c r="F573">
        <v>6835.34</v>
      </c>
      <c r="G573">
        <v>4319.13</v>
      </c>
      <c r="H573" t="str">
        <f>IFERROR(VLOOKUP(C573,Sheet4!B:C,2,0),"")</f>
        <v/>
      </c>
    </row>
    <row r="574" spans="1:8" x14ac:dyDescent="0.35">
      <c r="A574" t="s">
        <v>7</v>
      </c>
      <c r="B574" t="s">
        <v>8</v>
      </c>
      <c r="C574" t="s">
        <v>264</v>
      </c>
      <c r="D574" t="s">
        <v>71</v>
      </c>
      <c r="E574" t="s">
        <v>29</v>
      </c>
      <c r="F574">
        <v>7285.25</v>
      </c>
      <c r="G574">
        <v>3350</v>
      </c>
      <c r="H574" t="str">
        <f>IFERROR(VLOOKUP(C574,Sheet4!B:C,2,0),"")</f>
        <v/>
      </c>
    </row>
    <row r="575" spans="1:8" x14ac:dyDescent="0.35">
      <c r="A575" t="s">
        <v>7</v>
      </c>
      <c r="B575" t="s">
        <v>8</v>
      </c>
      <c r="C575" t="s">
        <v>264</v>
      </c>
      <c r="D575" t="s">
        <v>71</v>
      </c>
      <c r="E575" t="s">
        <v>10</v>
      </c>
      <c r="F575">
        <v>1638.11</v>
      </c>
      <c r="G575">
        <v>3360.52</v>
      </c>
      <c r="H575" t="str">
        <f>IFERROR(VLOOKUP(C575,Sheet4!B:C,2,0),"")</f>
        <v/>
      </c>
    </row>
    <row r="576" spans="1:8" x14ac:dyDescent="0.35">
      <c r="A576" t="s">
        <v>7</v>
      </c>
      <c r="B576" t="s">
        <v>8</v>
      </c>
      <c r="C576" t="s">
        <v>264</v>
      </c>
      <c r="D576" t="s">
        <v>71</v>
      </c>
      <c r="E576" t="s">
        <v>11</v>
      </c>
      <c r="F576">
        <v>456.11</v>
      </c>
      <c r="G576">
        <v>4955.17</v>
      </c>
      <c r="H576" t="str">
        <f>IFERROR(VLOOKUP(C576,Sheet4!B:C,2,0),"")</f>
        <v/>
      </c>
    </row>
    <row r="577" spans="1:8" x14ac:dyDescent="0.35">
      <c r="A577" t="s">
        <v>7</v>
      </c>
      <c r="B577" t="s">
        <v>8</v>
      </c>
      <c r="C577" t="s">
        <v>264</v>
      </c>
      <c r="D577" t="s">
        <v>71</v>
      </c>
      <c r="E577" t="s">
        <v>12</v>
      </c>
      <c r="F577">
        <v>685.16</v>
      </c>
      <c r="G577">
        <v>10762.03</v>
      </c>
      <c r="H577" t="str">
        <f>IFERROR(VLOOKUP(C577,Sheet4!B:C,2,0),"")</f>
        <v/>
      </c>
    </row>
    <row r="578" spans="1:8" x14ac:dyDescent="0.35">
      <c r="A578" t="s">
        <v>7</v>
      </c>
      <c r="B578" t="s">
        <v>8</v>
      </c>
      <c r="C578" t="s">
        <v>348</v>
      </c>
      <c r="D578" t="s">
        <v>187</v>
      </c>
      <c r="E578" t="s">
        <v>29</v>
      </c>
      <c r="F578">
        <v>95.76</v>
      </c>
      <c r="G578">
        <v>95.76</v>
      </c>
      <c r="H578" t="str">
        <f>IFERROR(VLOOKUP(C578,Sheet4!B:C,2,0),"")</f>
        <v/>
      </c>
    </row>
    <row r="579" spans="1:8" x14ac:dyDescent="0.35">
      <c r="A579" t="s">
        <v>7</v>
      </c>
      <c r="B579" t="s">
        <v>8</v>
      </c>
      <c r="C579" t="s">
        <v>348</v>
      </c>
      <c r="D579" t="s">
        <v>187</v>
      </c>
      <c r="E579" t="s">
        <v>10</v>
      </c>
      <c r="F579">
        <v>54865.35</v>
      </c>
      <c r="G579">
        <v>52490.78</v>
      </c>
      <c r="H579" t="str">
        <f>IFERROR(VLOOKUP(C579,Sheet4!B:C,2,0),"")</f>
        <v/>
      </c>
    </row>
    <row r="580" spans="1:8" x14ac:dyDescent="0.35">
      <c r="A580" t="s">
        <v>7</v>
      </c>
      <c r="B580" t="s">
        <v>8</v>
      </c>
      <c r="C580" t="s">
        <v>348</v>
      </c>
      <c r="D580" t="s">
        <v>187</v>
      </c>
      <c r="E580" t="s">
        <v>11</v>
      </c>
      <c r="F580">
        <v>3520</v>
      </c>
      <c r="G580">
        <v>3755.01</v>
      </c>
      <c r="H580" t="str">
        <f>IFERROR(VLOOKUP(C580,Sheet4!B:C,2,0),"")</f>
        <v/>
      </c>
    </row>
    <row r="581" spans="1:8" x14ac:dyDescent="0.35">
      <c r="A581" t="s">
        <v>7</v>
      </c>
      <c r="B581" t="s">
        <v>8</v>
      </c>
      <c r="C581" t="s">
        <v>348</v>
      </c>
      <c r="D581" t="s">
        <v>187</v>
      </c>
      <c r="E581" t="s">
        <v>12</v>
      </c>
      <c r="F581">
        <v>16120.97</v>
      </c>
      <c r="G581">
        <v>24066.76</v>
      </c>
      <c r="H581" t="str">
        <f>IFERROR(VLOOKUP(C581,Sheet4!B:C,2,0),"")</f>
        <v/>
      </c>
    </row>
    <row r="582" spans="1:8" x14ac:dyDescent="0.35">
      <c r="A582" t="s">
        <v>7</v>
      </c>
      <c r="B582" t="s">
        <v>8</v>
      </c>
      <c r="C582" t="s">
        <v>299</v>
      </c>
      <c r="D582" t="s">
        <v>106</v>
      </c>
      <c r="E582" t="s">
        <v>12</v>
      </c>
      <c r="F582">
        <v>1517.17</v>
      </c>
      <c r="G582">
        <v>1565.95</v>
      </c>
      <c r="H582" t="str">
        <f>IFERROR(VLOOKUP(C582,Sheet4!B:C,2,0),"")</f>
        <v/>
      </c>
    </row>
    <row r="583" spans="1:8" x14ac:dyDescent="0.35">
      <c r="A583" t="s">
        <v>7</v>
      </c>
      <c r="B583" t="s">
        <v>8</v>
      </c>
      <c r="C583" t="s">
        <v>300</v>
      </c>
      <c r="D583" t="s">
        <v>107</v>
      </c>
      <c r="E583" t="s">
        <v>10</v>
      </c>
      <c r="F583">
        <v>39757.26</v>
      </c>
      <c r="G583">
        <v>37123.06</v>
      </c>
      <c r="H583" t="str">
        <f>IFERROR(VLOOKUP(C583,Sheet4!B:C,2,0),"")</f>
        <v/>
      </c>
    </row>
    <row r="584" spans="1:8" x14ac:dyDescent="0.35">
      <c r="A584" t="s">
        <v>7</v>
      </c>
      <c r="B584" t="s">
        <v>8</v>
      </c>
      <c r="C584" t="s">
        <v>300</v>
      </c>
      <c r="D584" t="s">
        <v>107</v>
      </c>
      <c r="E584" t="s">
        <v>11</v>
      </c>
      <c r="F584">
        <v>1756.92</v>
      </c>
      <c r="G584">
        <v>1991.93</v>
      </c>
      <c r="H584" t="str">
        <f>IFERROR(VLOOKUP(C584,Sheet4!B:C,2,0),"")</f>
        <v/>
      </c>
    </row>
    <row r="585" spans="1:8" x14ac:dyDescent="0.35">
      <c r="A585" t="s">
        <v>7</v>
      </c>
      <c r="B585" t="s">
        <v>8</v>
      </c>
      <c r="C585" t="s">
        <v>301</v>
      </c>
      <c r="D585" t="s">
        <v>108</v>
      </c>
      <c r="E585" t="s">
        <v>10</v>
      </c>
      <c r="F585">
        <v>8607.7999999999993</v>
      </c>
      <c r="G585">
        <v>8174.94</v>
      </c>
      <c r="H585" t="str">
        <f>IFERROR(VLOOKUP(C585,Sheet4!B:C,2,0),"")</f>
        <v/>
      </c>
    </row>
    <row r="586" spans="1:8" x14ac:dyDescent="0.35">
      <c r="A586" t="s">
        <v>7</v>
      </c>
      <c r="B586" t="s">
        <v>8</v>
      </c>
      <c r="C586" t="s">
        <v>301</v>
      </c>
      <c r="D586" t="s">
        <v>108</v>
      </c>
      <c r="E586" t="s">
        <v>11</v>
      </c>
      <c r="F586">
        <v>50.79</v>
      </c>
      <c r="G586">
        <v>50.79</v>
      </c>
      <c r="H586" t="str">
        <f>IFERROR(VLOOKUP(C586,Sheet4!B:C,2,0),"")</f>
        <v/>
      </c>
    </row>
    <row r="587" spans="1:8" x14ac:dyDescent="0.35">
      <c r="A587" t="s">
        <v>7</v>
      </c>
      <c r="B587" t="s">
        <v>8</v>
      </c>
      <c r="C587" t="s">
        <v>302</v>
      </c>
      <c r="D587" t="s">
        <v>109</v>
      </c>
      <c r="E587" t="s">
        <v>10</v>
      </c>
      <c r="G587">
        <v>176.96</v>
      </c>
      <c r="H587" t="str">
        <f>IFERROR(VLOOKUP(C587,Sheet4!B:C,2,0),"")</f>
        <v/>
      </c>
    </row>
    <row r="588" spans="1:8" x14ac:dyDescent="0.35">
      <c r="A588" t="s">
        <v>7</v>
      </c>
      <c r="B588" t="s">
        <v>8</v>
      </c>
      <c r="C588" t="s">
        <v>302</v>
      </c>
      <c r="D588" t="s">
        <v>109</v>
      </c>
      <c r="E588" t="s">
        <v>12</v>
      </c>
      <c r="F588">
        <v>7336.69</v>
      </c>
      <c r="G588">
        <v>15233.7</v>
      </c>
      <c r="H588" t="str">
        <f>IFERROR(VLOOKUP(C588,Sheet4!B:C,2,0),"")</f>
        <v/>
      </c>
    </row>
    <row r="589" spans="1:8" x14ac:dyDescent="0.35">
      <c r="A589" t="s">
        <v>7</v>
      </c>
      <c r="B589" t="s">
        <v>8</v>
      </c>
      <c r="C589" t="s">
        <v>303</v>
      </c>
      <c r="D589" t="s">
        <v>110</v>
      </c>
      <c r="E589" t="s">
        <v>29</v>
      </c>
      <c r="F589">
        <v>95.76</v>
      </c>
      <c r="G589">
        <v>95.76</v>
      </c>
      <c r="H589" t="str">
        <f>IFERROR(VLOOKUP(C589,Sheet4!B:C,2,0),"")</f>
        <v/>
      </c>
    </row>
    <row r="590" spans="1:8" x14ac:dyDescent="0.35">
      <c r="A590" t="s">
        <v>7</v>
      </c>
      <c r="B590" t="s">
        <v>8</v>
      </c>
      <c r="C590" t="s">
        <v>303</v>
      </c>
      <c r="D590" t="s">
        <v>110</v>
      </c>
      <c r="E590" t="s">
        <v>10</v>
      </c>
      <c r="F590">
        <v>5809.54</v>
      </c>
      <c r="G590">
        <v>6289.6</v>
      </c>
      <c r="H590" t="str">
        <f>IFERROR(VLOOKUP(C590,Sheet4!B:C,2,0),"")</f>
        <v/>
      </c>
    </row>
    <row r="591" spans="1:8" x14ac:dyDescent="0.35">
      <c r="A591" t="s">
        <v>7</v>
      </c>
      <c r="B591" t="s">
        <v>8</v>
      </c>
      <c r="C591" t="s">
        <v>303</v>
      </c>
      <c r="D591" t="s">
        <v>110</v>
      </c>
      <c r="E591" t="s">
        <v>11</v>
      </c>
      <c r="F591">
        <v>539.83000000000004</v>
      </c>
      <c r="G591">
        <v>539.83000000000004</v>
      </c>
      <c r="H591" t="str">
        <f>IFERROR(VLOOKUP(C591,Sheet4!B:C,2,0),"")</f>
        <v/>
      </c>
    </row>
    <row r="592" spans="1:8" x14ac:dyDescent="0.35">
      <c r="A592" t="s">
        <v>7</v>
      </c>
      <c r="B592" t="s">
        <v>8</v>
      </c>
      <c r="C592" t="s">
        <v>303</v>
      </c>
      <c r="D592" t="s">
        <v>110</v>
      </c>
      <c r="E592" t="s">
        <v>12</v>
      </c>
      <c r="F592">
        <v>7267.11</v>
      </c>
      <c r="G592">
        <v>7267.11</v>
      </c>
      <c r="H592" t="str">
        <f>IFERROR(VLOOKUP(C592,Sheet4!B:C,2,0),"")</f>
        <v/>
      </c>
    </row>
    <row r="593" spans="1:8" x14ac:dyDescent="0.35">
      <c r="A593" t="s">
        <v>7</v>
      </c>
      <c r="B593" t="s">
        <v>8</v>
      </c>
      <c r="C593" t="s">
        <v>304</v>
      </c>
      <c r="D593" t="s">
        <v>111</v>
      </c>
      <c r="E593" t="s">
        <v>10</v>
      </c>
      <c r="F593">
        <v>690.75</v>
      </c>
      <c r="G593">
        <v>726.22</v>
      </c>
      <c r="H593" t="str">
        <f>IFERROR(VLOOKUP(C593,Sheet4!B:C,2,0),"")</f>
        <v/>
      </c>
    </row>
    <row r="594" spans="1:8" x14ac:dyDescent="0.35">
      <c r="A594" t="s">
        <v>7</v>
      </c>
      <c r="B594" t="s">
        <v>8</v>
      </c>
      <c r="C594" t="s">
        <v>304</v>
      </c>
      <c r="D594" t="s">
        <v>111</v>
      </c>
      <c r="E594" t="s">
        <v>11</v>
      </c>
      <c r="F594">
        <v>1172.46</v>
      </c>
      <c r="G594">
        <v>1172.46</v>
      </c>
      <c r="H594" t="str">
        <f>IFERROR(VLOOKUP(C594,Sheet4!B:C,2,0),"")</f>
        <v/>
      </c>
    </row>
    <row r="595" spans="1:8" x14ac:dyDescent="0.35">
      <c r="A595" t="s">
        <v>7</v>
      </c>
      <c r="B595" t="s">
        <v>8</v>
      </c>
      <c r="C595" t="s">
        <v>349</v>
      </c>
      <c r="D595" t="s">
        <v>184</v>
      </c>
      <c r="E595" t="s">
        <v>29</v>
      </c>
      <c r="G595">
        <v>107.48</v>
      </c>
      <c r="H595" t="str">
        <f>IFERROR(VLOOKUP(C595,Sheet4!B:C,2,0),"")</f>
        <v/>
      </c>
    </row>
    <row r="596" spans="1:8" x14ac:dyDescent="0.35">
      <c r="A596" t="s">
        <v>7</v>
      </c>
      <c r="B596" t="s">
        <v>8</v>
      </c>
      <c r="C596" t="s">
        <v>349</v>
      </c>
      <c r="D596" t="s">
        <v>184</v>
      </c>
      <c r="E596" t="s">
        <v>10</v>
      </c>
      <c r="F596">
        <v>52542.07</v>
      </c>
      <c r="G596">
        <v>13409.4</v>
      </c>
      <c r="H596" t="str">
        <f>IFERROR(VLOOKUP(C596,Sheet4!B:C,2,0),"")</f>
        <v/>
      </c>
    </row>
    <row r="597" spans="1:8" x14ac:dyDescent="0.35">
      <c r="A597" t="s">
        <v>7</v>
      </c>
      <c r="B597" t="s">
        <v>8</v>
      </c>
      <c r="C597" t="s">
        <v>349</v>
      </c>
      <c r="D597" t="s">
        <v>184</v>
      </c>
      <c r="E597" t="s">
        <v>11</v>
      </c>
      <c r="F597">
        <v>3152.38</v>
      </c>
      <c r="G597">
        <v>4778.1499999999996</v>
      </c>
      <c r="H597" t="str">
        <f>IFERROR(VLOOKUP(C597,Sheet4!B:C,2,0),"")</f>
        <v/>
      </c>
    </row>
    <row r="598" spans="1:8" x14ac:dyDescent="0.35">
      <c r="A598" t="s">
        <v>7</v>
      </c>
      <c r="B598" t="s">
        <v>8</v>
      </c>
      <c r="C598" t="s">
        <v>349</v>
      </c>
      <c r="D598" t="s">
        <v>184</v>
      </c>
      <c r="E598" t="s">
        <v>30</v>
      </c>
      <c r="F598">
        <v>192</v>
      </c>
      <c r="G598">
        <v>136</v>
      </c>
      <c r="H598" t="str">
        <f>IFERROR(VLOOKUP(C598,Sheet4!B:C,2,0),"")</f>
        <v/>
      </c>
    </row>
    <row r="599" spans="1:8" x14ac:dyDescent="0.35">
      <c r="A599" t="s">
        <v>7</v>
      </c>
      <c r="B599" t="s">
        <v>8</v>
      </c>
      <c r="C599" t="s">
        <v>349</v>
      </c>
      <c r="D599" t="s">
        <v>184</v>
      </c>
      <c r="E599" t="s">
        <v>12</v>
      </c>
      <c r="F599">
        <v>37864.519999999997</v>
      </c>
      <c r="G599">
        <v>22933.55</v>
      </c>
      <c r="H599" t="str">
        <f>IFERROR(VLOOKUP(C599,Sheet4!B:C,2,0),"")</f>
        <v/>
      </c>
    </row>
    <row r="600" spans="1:8" x14ac:dyDescent="0.35">
      <c r="A600" t="s">
        <v>7</v>
      </c>
      <c r="B600" t="s">
        <v>8</v>
      </c>
      <c r="C600" t="s">
        <v>265</v>
      </c>
      <c r="D600" t="s">
        <v>72</v>
      </c>
      <c r="E600" t="s">
        <v>10</v>
      </c>
      <c r="F600">
        <v>34871.54</v>
      </c>
      <c r="G600">
        <v>11271.67</v>
      </c>
      <c r="H600" t="str">
        <f>IFERROR(VLOOKUP(C600,Sheet4!B:C,2,0),"")</f>
        <v/>
      </c>
    </row>
    <row r="601" spans="1:8" x14ac:dyDescent="0.35">
      <c r="A601" t="s">
        <v>7</v>
      </c>
      <c r="B601" t="s">
        <v>8</v>
      </c>
      <c r="C601" t="s">
        <v>265</v>
      </c>
      <c r="D601" t="s">
        <v>72</v>
      </c>
      <c r="E601" t="s">
        <v>11</v>
      </c>
      <c r="F601">
        <v>0</v>
      </c>
      <c r="G601">
        <v>6.43</v>
      </c>
      <c r="H601" t="str">
        <f>IFERROR(VLOOKUP(C601,Sheet4!B:C,2,0),"")</f>
        <v/>
      </c>
    </row>
    <row r="602" spans="1:8" x14ac:dyDescent="0.35">
      <c r="A602" t="s">
        <v>7</v>
      </c>
      <c r="B602" t="s">
        <v>8</v>
      </c>
      <c r="C602" t="s">
        <v>266</v>
      </c>
      <c r="D602" t="s">
        <v>73</v>
      </c>
      <c r="E602" t="s">
        <v>10</v>
      </c>
      <c r="F602">
        <v>697.95</v>
      </c>
      <c r="G602">
        <v>4803.63</v>
      </c>
      <c r="H602" t="str">
        <f>IFERROR(VLOOKUP(C602,Sheet4!B:C,2,0),"")</f>
        <v/>
      </c>
    </row>
    <row r="603" spans="1:8" x14ac:dyDescent="0.35">
      <c r="A603" t="s">
        <v>7</v>
      </c>
      <c r="B603" t="s">
        <v>8</v>
      </c>
      <c r="C603" t="s">
        <v>266</v>
      </c>
      <c r="D603" t="s">
        <v>73</v>
      </c>
      <c r="E603" t="s">
        <v>11</v>
      </c>
      <c r="F603">
        <v>32.15</v>
      </c>
      <c r="H603" t="str">
        <f>IFERROR(VLOOKUP(C603,Sheet4!B:C,2,0),"")</f>
        <v/>
      </c>
    </row>
    <row r="604" spans="1:8" x14ac:dyDescent="0.35">
      <c r="A604" t="s">
        <v>7</v>
      </c>
      <c r="B604" t="s">
        <v>8</v>
      </c>
      <c r="C604" t="s">
        <v>267</v>
      </c>
      <c r="D604" t="s">
        <v>74</v>
      </c>
      <c r="E604" t="s">
        <v>29</v>
      </c>
      <c r="G604">
        <v>85.99</v>
      </c>
      <c r="H604" t="str">
        <f>IFERROR(VLOOKUP(C604,Sheet4!B:C,2,0),"")</f>
        <v/>
      </c>
    </row>
    <row r="605" spans="1:8" x14ac:dyDescent="0.35">
      <c r="A605" t="s">
        <v>7</v>
      </c>
      <c r="B605" t="s">
        <v>8</v>
      </c>
      <c r="C605" t="s">
        <v>267</v>
      </c>
      <c r="D605" t="s">
        <v>74</v>
      </c>
      <c r="E605" t="s">
        <v>10</v>
      </c>
      <c r="F605">
        <v>5915.41</v>
      </c>
      <c r="G605">
        <v>376.97</v>
      </c>
      <c r="H605" t="str">
        <f>IFERROR(VLOOKUP(C605,Sheet4!B:C,2,0),"")</f>
        <v/>
      </c>
    </row>
    <row r="606" spans="1:8" x14ac:dyDescent="0.35">
      <c r="A606" t="s">
        <v>7</v>
      </c>
      <c r="B606" t="s">
        <v>8</v>
      </c>
      <c r="C606" t="s">
        <v>267</v>
      </c>
      <c r="D606" t="s">
        <v>74</v>
      </c>
      <c r="E606" t="s">
        <v>11</v>
      </c>
      <c r="F606">
        <v>1923.18</v>
      </c>
      <c r="G606">
        <v>-292.17</v>
      </c>
      <c r="H606" t="str">
        <f>IFERROR(VLOOKUP(C606,Sheet4!B:C,2,0),"")</f>
        <v/>
      </c>
    </row>
    <row r="607" spans="1:8" x14ac:dyDescent="0.35">
      <c r="A607" t="s">
        <v>7</v>
      </c>
      <c r="B607" t="s">
        <v>8</v>
      </c>
      <c r="C607" t="s">
        <v>267</v>
      </c>
      <c r="D607" t="s">
        <v>74</v>
      </c>
      <c r="E607" t="s">
        <v>12</v>
      </c>
      <c r="F607">
        <v>30945.95</v>
      </c>
      <c r="G607">
        <v>16860.36</v>
      </c>
      <c r="H607" t="str">
        <f>IFERROR(VLOOKUP(C607,Sheet4!B:C,2,0),"")</f>
        <v/>
      </c>
    </row>
    <row r="608" spans="1:8" x14ac:dyDescent="0.35">
      <c r="A608" t="s">
        <v>7</v>
      </c>
      <c r="B608" t="s">
        <v>8</v>
      </c>
      <c r="C608" t="s">
        <v>268</v>
      </c>
      <c r="D608" t="s">
        <v>75</v>
      </c>
      <c r="E608" t="s">
        <v>10</v>
      </c>
      <c r="F608">
        <v>163.9</v>
      </c>
      <c r="G608">
        <v>98.97</v>
      </c>
      <c r="H608" t="str">
        <f>IFERROR(VLOOKUP(C608,Sheet4!B:C,2,0),"")</f>
        <v/>
      </c>
    </row>
    <row r="609" spans="1:8" x14ac:dyDescent="0.35">
      <c r="A609" t="s">
        <v>7</v>
      </c>
      <c r="B609" t="s">
        <v>8</v>
      </c>
      <c r="C609" t="s">
        <v>268</v>
      </c>
      <c r="D609" t="s">
        <v>75</v>
      </c>
      <c r="E609" t="s">
        <v>11</v>
      </c>
      <c r="F609">
        <v>2836.71</v>
      </c>
      <c r="G609">
        <v>2892.41</v>
      </c>
      <c r="H609" t="str">
        <f>IFERROR(VLOOKUP(C609,Sheet4!B:C,2,0),"")</f>
        <v/>
      </c>
    </row>
    <row r="610" spans="1:8" x14ac:dyDescent="0.35">
      <c r="A610" t="s">
        <v>7</v>
      </c>
      <c r="B610" t="s">
        <v>8</v>
      </c>
      <c r="C610" t="s">
        <v>268</v>
      </c>
      <c r="D610" t="s">
        <v>75</v>
      </c>
      <c r="E610" t="s">
        <v>12</v>
      </c>
      <c r="F610">
        <v>6918.57</v>
      </c>
      <c r="G610">
        <v>6073.19</v>
      </c>
      <c r="H610" t="str">
        <f>IFERROR(VLOOKUP(C610,Sheet4!B:C,2,0),"")</f>
        <v/>
      </c>
    </row>
    <row r="611" spans="1:8" x14ac:dyDescent="0.35">
      <c r="A611" t="s">
        <v>7</v>
      </c>
      <c r="B611" t="s">
        <v>8</v>
      </c>
      <c r="C611" t="s">
        <v>269</v>
      </c>
      <c r="D611" t="s">
        <v>76</v>
      </c>
      <c r="E611" t="s">
        <v>29</v>
      </c>
      <c r="G611">
        <v>21.49</v>
      </c>
      <c r="H611" t="str">
        <f>IFERROR(VLOOKUP(C611,Sheet4!B:C,2,0),"")</f>
        <v/>
      </c>
    </row>
    <row r="612" spans="1:8" x14ac:dyDescent="0.35">
      <c r="A612" t="s">
        <v>7</v>
      </c>
      <c r="B612" t="s">
        <v>8</v>
      </c>
      <c r="C612" t="s">
        <v>269</v>
      </c>
      <c r="D612" t="s">
        <v>76</v>
      </c>
      <c r="E612" t="s">
        <v>10</v>
      </c>
      <c r="F612">
        <v>2088.8200000000002</v>
      </c>
      <c r="G612">
        <v>-375.77</v>
      </c>
      <c r="H612" t="str">
        <f>IFERROR(VLOOKUP(C612,Sheet4!B:C,2,0),"")</f>
        <v/>
      </c>
    </row>
    <row r="613" spans="1:8" x14ac:dyDescent="0.35">
      <c r="A613" t="s">
        <v>7</v>
      </c>
      <c r="B613" t="s">
        <v>8</v>
      </c>
      <c r="C613" t="s">
        <v>269</v>
      </c>
      <c r="D613" t="s">
        <v>76</v>
      </c>
      <c r="E613" t="s">
        <v>11</v>
      </c>
      <c r="F613">
        <v>2094.87</v>
      </c>
      <c r="G613">
        <v>6358.98</v>
      </c>
      <c r="H613" t="str">
        <f>IFERROR(VLOOKUP(C613,Sheet4!B:C,2,0),"")</f>
        <v/>
      </c>
    </row>
    <row r="614" spans="1:8" x14ac:dyDescent="0.35">
      <c r="A614" t="s">
        <v>7</v>
      </c>
      <c r="B614" t="s">
        <v>8</v>
      </c>
      <c r="C614" t="s">
        <v>270</v>
      </c>
      <c r="D614" t="s">
        <v>77</v>
      </c>
      <c r="E614" t="s">
        <v>10</v>
      </c>
      <c r="F614">
        <v>8804.4500000000007</v>
      </c>
      <c r="G614">
        <v>-2766.07</v>
      </c>
      <c r="H614" t="str">
        <f>IFERROR(VLOOKUP(C614,Sheet4!B:C,2,0),"")</f>
        <v/>
      </c>
    </row>
    <row r="615" spans="1:8" x14ac:dyDescent="0.35">
      <c r="A615" t="s">
        <v>7</v>
      </c>
      <c r="B615" t="s">
        <v>8</v>
      </c>
      <c r="C615" t="s">
        <v>270</v>
      </c>
      <c r="D615" t="s">
        <v>77</v>
      </c>
      <c r="E615" t="s">
        <v>11</v>
      </c>
      <c r="F615">
        <v>-3734.53</v>
      </c>
      <c r="G615">
        <v>-4187.5</v>
      </c>
      <c r="H615" t="str">
        <f>IFERROR(VLOOKUP(C615,Sheet4!B:C,2,0),"")</f>
        <v/>
      </c>
    </row>
    <row r="616" spans="1:8" x14ac:dyDescent="0.35">
      <c r="A616" t="s">
        <v>7</v>
      </c>
      <c r="B616" t="s">
        <v>8</v>
      </c>
      <c r="C616" t="s">
        <v>350</v>
      </c>
      <c r="D616" t="s">
        <v>351</v>
      </c>
      <c r="E616" t="s">
        <v>29</v>
      </c>
      <c r="F616">
        <v>37.96</v>
      </c>
      <c r="G616">
        <v>-8274.59</v>
      </c>
      <c r="H616" t="str">
        <f>IFERROR(VLOOKUP(C616,Sheet4!B:C,2,0),"")</f>
        <v/>
      </c>
    </row>
    <row r="617" spans="1:8" x14ac:dyDescent="0.35">
      <c r="A617" t="s">
        <v>7</v>
      </c>
      <c r="B617" t="s">
        <v>8</v>
      </c>
      <c r="C617" t="s">
        <v>350</v>
      </c>
      <c r="D617" t="s">
        <v>351</v>
      </c>
      <c r="E617" t="s">
        <v>10</v>
      </c>
      <c r="F617">
        <v>-474010.28</v>
      </c>
      <c r="G617">
        <v>-572564.26</v>
      </c>
      <c r="H617" t="str">
        <f>IFERROR(VLOOKUP(C617,Sheet4!B:C,2,0),"")</f>
        <v/>
      </c>
    </row>
    <row r="618" spans="1:8" x14ac:dyDescent="0.35">
      <c r="A618" t="s">
        <v>7</v>
      </c>
      <c r="B618" t="s">
        <v>8</v>
      </c>
      <c r="C618" t="s">
        <v>350</v>
      </c>
      <c r="D618" t="s">
        <v>351</v>
      </c>
      <c r="E618" t="s">
        <v>11</v>
      </c>
      <c r="F618">
        <v>117019.46</v>
      </c>
      <c r="G618">
        <v>44656.76</v>
      </c>
      <c r="H618" t="str">
        <f>IFERROR(VLOOKUP(C618,Sheet4!B:C,2,0),"")</f>
        <v/>
      </c>
    </row>
    <row r="619" spans="1:8" x14ac:dyDescent="0.35">
      <c r="A619" t="s">
        <v>7</v>
      </c>
      <c r="B619" t="s">
        <v>8</v>
      </c>
      <c r="C619" t="s">
        <v>350</v>
      </c>
      <c r="D619" t="s">
        <v>351</v>
      </c>
      <c r="E619" t="s">
        <v>30</v>
      </c>
      <c r="F619">
        <v>241.67</v>
      </c>
      <c r="G619">
        <v>0</v>
      </c>
      <c r="H619" t="str">
        <f>IFERROR(VLOOKUP(C619,Sheet4!B:C,2,0),"")</f>
        <v/>
      </c>
    </row>
    <row r="620" spans="1:8" x14ac:dyDescent="0.35">
      <c r="A620" t="s">
        <v>7</v>
      </c>
      <c r="B620" t="s">
        <v>8</v>
      </c>
      <c r="C620" t="s">
        <v>350</v>
      </c>
      <c r="D620" t="s">
        <v>351</v>
      </c>
      <c r="E620" t="s">
        <v>12</v>
      </c>
      <c r="F620">
        <v>-46087.14</v>
      </c>
      <c r="G620">
        <v>-10580.92</v>
      </c>
      <c r="H620" t="str">
        <f>IFERROR(VLOOKUP(C620,Sheet4!B:C,2,0),"")</f>
        <v/>
      </c>
    </row>
    <row r="621" spans="1:8" x14ac:dyDescent="0.35">
      <c r="A621" t="s">
        <v>7</v>
      </c>
      <c r="B621" t="s">
        <v>8</v>
      </c>
      <c r="C621" t="s">
        <v>352</v>
      </c>
      <c r="D621" t="s">
        <v>353</v>
      </c>
      <c r="E621" t="s">
        <v>29</v>
      </c>
      <c r="F621">
        <v>37.96</v>
      </c>
      <c r="G621">
        <v>-14.63</v>
      </c>
      <c r="H621" t="str">
        <f>IFERROR(VLOOKUP(C621,Sheet4!B:C,2,0),"")</f>
        <v/>
      </c>
    </row>
    <row r="622" spans="1:8" x14ac:dyDescent="0.35">
      <c r="A622" t="s">
        <v>7</v>
      </c>
      <c r="B622" t="s">
        <v>8</v>
      </c>
      <c r="C622" t="s">
        <v>352</v>
      </c>
      <c r="D622" t="s">
        <v>353</v>
      </c>
      <c r="E622" t="s">
        <v>10</v>
      </c>
      <c r="F622">
        <v>99865.29</v>
      </c>
      <c r="G622">
        <v>-8848.61</v>
      </c>
      <c r="H622" t="str">
        <f>IFERROR(VLOOKUP(C622,Sheet4!B:C,2,0),"")</f>
        <v/>
      </c>
    </row>
    <row r="623" spans="1:8" x14ac:dyDescent="0.35">
      <c r="A623" t="s">
        <v>7</v>
      </c>
      <c r="B623" t="s">
        <v>8</v>
      </c>
      <c r="C623" t="s">
        <v>352</v>
      </c>
      <c r="D623" t="s">
        <v>353</v>
      </c>
      <c r="E623" t="s">
        <v>11</v>
      </c>
      <c r="F623">
        <v>95450.7</v>
      </c>
      <c r="G623">
        <v>49384.77</v>
      </c>
      <c r="H623" t="str">
        <f>IFERROR(VLOOKUP(C623,Sheet4!B:C,2,0),"")</f>
        <v/>
      </c>
    </row>
    <row r="624" spans="1:8" x14ac:dyDescent="0.35">
      <c r="A624" t="s">
        <v>7</v>
      </c>
      <c r="B624" t="s">
        <v>8</v>
      </c>
      <c r="C624" t="s">
        <v>352</v>
      </c>
      <c r="D624" t="s">
        <v>353</v>
      </c>
      <c r="E624" t="s">
        <v>30</v>
      </c>
      <c r="F624">
        <v>241.67</v>
      </c>
      <c r="H624" t="str">
        <f>IFERROR(VLOOKUP(C624,Sheet4!B:C,2,0),"")</f>
        <v/>
      </c>
    </row>
    <row r="625" spans="1:8" x14ac:dyDescent="0.35">
      <c r="A625" t="s">
        <v>7</v>
      </c>
      <c r="B625" t="s">
        <v>8</v>
      </c>
      <c r="C625" t="s">
        <v>352</v>
      </c>
      <c r="D625" t="s">
        <v>353</v>
      </c>
      <c r="E625" t="s">
        <v>12</v>
      </c>
      <c r="F625">
        <v>-14242.91</v>
      </c>
      <c r="G625">
        <v>16054.75</v>
      </c>
      <c r="H625" t="str">
        <f>IFERROR(VLOOKUP(C625,Sheet4!B:C,2,0),"")</f>
        <v/>
      </c>
    </row>
    <row r="626" spans="1:8" x14ac:dyDescent="0.35">
      <c r="A626" t="s">
        <v>7</v>
      </c>
      <c r="B626" t="s">
        <v>8</v>
      </c>
      <c r="C626" t="s">
        <v>279</v>
      </c>
      <c r="D626" t="s">
        <v>86</v>
      </c>
      <c r="E626" t="s">
        <v>29</v>
      </c>
      <c r="F626">
        <v>-71.069999999999993</v>
      </c>
      <c r="G626">
        <v>-106.19</v>
      </c>
      <c r="H626" t="str">
        <f>IFERROR(VLOOKUP(C626,Sheet4!B:C,2,0),"")</f>
        <v/>
      </c>
    </row>
    <row r="627" spans="1:8" x14ac:dyDescent="0.35">
      <c r="A627" t="s">
        <v>7</v>
      </c>
      <c r="B627" t="s">
        <v>8</v>
      </c>
      <c r="C627" t="s">
        <v>279</v>
      </c>
      <c r="D627" t="s">
        <v>86</v>
      </c>
      <c r="E627" t="s">
        <v>10</v>
      </c>
      <c r="F627">
        <v>5875.51</v>
      </c>
      <c r="G627">
        <v>1240.1300000000001</v>
      </c>
      <c r="H627" t="str">
        <f>IFERROR(VLOOKUP(C627,Sheet4!B:C,2,0),"")</f>
        <v/>
      </c>
    </row>
    <row r="628" spans="1:8" x14ac:dyDescent="0.35">
      <c r="A628" t="s">
        <v>7</v>
      </c>
      <c r="B628" t="s">
        <v>8</v>
      </c>
      <c r="C628" t="s">
        <v>279</v>
      </c>
      <c r="D628" t="s">
        <v>86</v>
      </c>
      <c r="E628" t="s">
        <v>11</v>
      </c>
      <c r="F628">
        <v>3611.52</v>
      </c>
      <c r="G628">
        <v>-340.1</v>
      </c>
      <c r="H628" t="str">
        <f>IFERROR(VLOOKUP(C628,Sheet4!B:C,2,0),"")</f>
        <v/>
      </c>
    </row>
    <row r="629" spans="1:8" x14ac:dyDescent="0.35">
      <c r="A629" t="s">
        <v>7</v>
      </c>
      <c r="B629" t="s">
        <v>8</v>
      </c>
      <c r="C629" t="s">
        <v>279</v>
      </c>
      <c r="D629" t="s">
        <v>86</v>
      </c>
      <c r="E629" t="s">
        <v>12</v>
      </c>
      <c r="F629">
        <v>142.16999999999999</v>
      </c>
      <c r="G629">
        <v>1410.32</v>
      </c>
      <c r="H629" t="str">
        <f>IFERROR(VLOOKUP(C629,Sheet4!B:C,2,0),"")</f>
        <v/>
      </c>
    </row>
    <row r="630" spans="1:8" x14ac:dyDescent="0.35">
      <c r="A630" t="s">
        <v>7</v>
      </c>
      <c r="B630" t="s">
        <v>8</v>
      </c>
      <c r="C630" t="s">
        <v>280</v>
      </c>
      <c r="D630" t="s">
        <v>87</v>
      </c>
      <c r="E630" t="s">
        <v>10</v>
      </c>
      <c r="F630">
        <v>1818.97</v>
      </c>
      <c r="G630">
        <v>3734.56</v>
      </c>
      <c r="H630" t="str">
        <f>IFERROR(VLOOKUP(C630,Sheet4!B:C,2,0),"")</f>
        <v/>
      </c>
    </row>
    <row r="631" spans="1:8" x14ac:dyDescent="0.35">
      <c r="A631" t="s">
        <v>7</v>
      </c>
      <c r="B631" t="s">
        <v>8</v>
      </c>
      <c r="C631" t="s">
        <v>280</v>
      </c>
      <c r="D631" t="s">
        <v>87</v>
      </c>
      <c r="E631" t="s">
        <v>11</v>
      </c>
      <c r="F631">
        <v>626.08000000000004</v>
      </c>
      <c r="G631">
        <v>543.39</v>
      </c>
      <c r="H631" t="str">
        <f>IFERROR(VLOOKUP(C631,Sheet4!B:C,2,0),"")</f>
        <v/>
      </c>
    </row>
    <row r="632" spans="1:8" x14ac:dyDescent="0.35">
      <c r="A632" t="s">
        <v>7</v>
      </c>
      <c r="B632" t="s">
        <v>8</v>
      </c>
      <c r="C632" t="s">
        <v>280</v>
      </c>
      <c r="D632" t="s">
        <v>87</v>
      </c>
      <c r="E632" t="s">
        <v>12</v>
      </c>
      <c r="F632">
        <v>1194.6500000000001</v>
      </c>
      <c r="G632">
        <v>441.15</v>
      </c>
      <c r="H632" t="str">
        <f>IFERROR(VLOOKUP(C632,Sheet4!B:C,2,0),"")</f>
        <v/>
      </c>
    </row>
    <row r="633" spans="1:8" x14ac:dyDescent="0.35">
      <c r="A633" t="s">
        <v>7</v>
      </c>
      <c r="B633" t="s">
        <v>8</v>
      </c>
      <c r="C633" t="s">
        <v>281</v>
      </c>
      <c r="D633" t="s">
        <v>88</v>
      </c>
      <c r="E633" t="s">
        <v>29</v>
      </c>
      <c r="F633">
        <v>-24.7</v>
      </c>
      <c r="G633">
        <v>50.24</v>
      </c>
      <c r="H633" t="str">
        <f>IFERROR(VLOOKUP(C633,Sheet4!B:C,2,0),"")</f>
        <v/>
      </c>
    </row>
    <row r="634" spans="1:8" x14ac:dyDescent="0.35">
      <c r="A634" t="s">
        <v>7</v>
      </c>
      <c r="B634" t="s">
        <v>8</v>
      </c>
      <c r="C634" t="s">
        <v>281</v>
      </c>
      <c r="D634" t="s">
        <v>88</v>
      </c>
      <c r="E634" t="s">
        <v>10</v>
      </c>
      <c r="F634">
        <v>55248.4</v>
      </c>
      <c r="G634">
        <v>10767.59</v>
      </c>
      <c r="H634" t="str">
        <f>IFERROR(VLOOKUP(C634,Sheet4!B:C,2,0),"")</f>
        <v/>
      </c>
    </row>
    <row r="635" spans="1:8" x14ac:dyDescent="0.35">
      <c r="A635" t="s">
        <v>7</v>
      </c>
      <c r="B635" t="s">
        <v>8</v>
      </c>
      <c r="C635" t="s">
        <v>281</v>
      </c>
      <c r="D635" t="s">
        <v>88</v>
      </c>
      <c r="E635" t="s">
        <v>11</v>
      </c>
      <c r="F635">
        <v>59111.74</v>
      </c>
      <c r="G635">
        <v>9418.1299999999992</v>
      </c>
      <c r="H635" t="str">
        <f>IFERROR(VLOOKUP(C635,Sheet4!B:C,2,0),"")</f>
        <v/>
      </c>
    </row>
    <row r="636" spans="1:8" x14ac:dyDescent="0.35">
      <c r="A636" t="s">
        <v>7</v>
      </c>
      <c r="B636" t="s">
        <v>8</v>
      </c>
      <c r="C636" t="s">
        <v>281</v>
      </c>
      <c r="D636" t="s">
        <v>88</v>
      </c>
      <c r="E636" t="s">
        <v>12</v>
      </c>
      <c r="F636">
        <v>1003.61</v>
      </c>
      <c r="G636">
        <v>761.24</v>
      </c>
      <c r="H636" t="str">
        <f>IFERROR(VLOOKUP(C636,Sheet4!B:C,2,0),"")</f>
        <v/>
      </c>
    </row>
    <row r="637" spans="1:8" x14ac:dyDescent="0.35">
      <c r="A637" t="s">
        <v>7</v>
      </c>
      <c r="B637" t="s">
        <v>8</v>
      </c>
      <c r="C637" t="s">
        <v>282</v>
      </c>
      <c r="D637" t="s">
        <v>89</v>
      </c>
      <c r="E637" t="s">
        <v>10</v>
      </c>
      <c r="F637">
        <v>360.13</v>
      </c>
      <c r="G637">
        <v>1995.68</v>
      </c>
      <c r="H637" t="str">
        <f>IFERROR(VLOOKUP(C637,Sheet4!B:C,2,0),"")</f>
        <v/>
      </c>
    </row>
    <row r="638" spans="1:8" x14ac:dyDescent="0.35">
      <c r="A638" t="s">
        <v>7</v>
      </c>
      <c r="B638" t="s">
        <v>8</v>
      </c>
      <c r="C638" t="s">
        <v>282</v>
      </c>
      <c r="D638" t="s">
        <v>89</v>
      </c>
      <c r="E638" t="s">
        <v>11</v>
      </c>
      <c r="F638">
        <v>7.51</v>
      </c>
      <c r="G638">
        <v>1063.5899999999999</v>
      </c>
      <c r="H638" t="str">
        <f>IFERROR(VLOOKUP(C638,Sheet4!B:C,2,0),"")</f>
        <v/>
      </c>
    </row>
    <row r="639" spans="1:8" x14ac:dyDescent="0.35">
      <c r="A639" t="s">
        <v>7</v>
      </c>
      <c r="B639" t="s">
        <v>8</v>
      </c>
      <c r="C639" t="s">
        <v>282</v>
      </c>
      <c r="D639" t="s">
        <v>89</v>
      </c>
      <c r="E639" t="s">
        <v>12</v>
      </c>
      <c r="G639">
        <v>123.6</v>
      </c>
      <c r="H639" t="str">
        <f>IFERROR(VLOOKUP(C639,Sheet4!B:C,2,0),"")</f>
        <v/>
      </c>
    </row>
    <row r="640" spans="1:8" x14ac:dyDescent="0.35">
      <c r="A640" t="s">
        <v>7</v>
      </c>
      <c r="B640" t="s">
        <v>8</v>
      </c>
      <c r="C640" t="s">
        <v>283</v>
      </c>
      <c r="D640" t="s">
        <v>90</v>
      </c>
      <c r="E640" t="s">
        <v>12</v>
      </c>
      <c r="F640">
        <v>3007.6</v>
      </c>
      <c r="G640">
        <v>5104.16</v>
      </c>
      <c r="H640" t="str">
        <f>IFERROR(VLOOKUP(C640,Sheet4!B:C,2,0),"")</f>
        <v/>
      </c>
    </row>
    <row r="641" spans="1:8" x14ac:dyDescent="0.35">
      <c r="A641" t="s">
        <v>7</v>
      </c>
      <c r="B641" t="s">
        <v>8</v>
      </c>
      <c r="C641" t="s">
        <v>284</v>
      </c>
      <c r="D641" t="s">
        <v>91</v>
      </c>
      <c r="E641" t="s">
        <v>10</v>
      </c>
      <c r="F641">
        <v>14720.16</v>
      </c>
      <c r="G641">
        <v>10573.32</v>
      </c>
      <c r="H641" t="str">
        <f>IFERROR(VLOOKUP(C641,Sheet4!B:C,2,0),"")</f>
        <v/>
      </c>
    </row>
    <row r="642" spans="1:8" x14ac:dyDescent="0.35">
      <c r="A642" t="s">
        <v>7</v>
      </c>
      <c r="B642" t="s">
        <v>8</v>
      </c>
      <c r="C642" t="s">
        <v>285</v>
      </c>
      <c r="D642" t="s">
        <v>92</v>
      </c>
      <c r="E642" t="s">
        <v>12</v>
      </c>
      <c r="F642">
        <v>55253.33</v>
      </c>
      <c r="G642">
        <v>22483.33</v>
      </c>
      <c r="H642" t="str">
        <f>IFERROR(VLOOKUP(C642,Sheet4!B:C,2,0),"")</f>
        <v/>
      </c>
    </row>
    <row r="643" spans="1:8" x14ac:dyDescent="0.35">
      <c r="A643" t="s">
        <v>7</v>
      </c>
      <c r="B643" t="s">
        <v>8</v>
      </c>
      <c r="C643" t="s">
        <v>286</v>
      </c>
      <c r="D643" t="s">
        <v>93</v>
      </c>
      <c r="E643" t="s">
        <v>10</v>
      </c>
      <c r="F643">
        <v>148.6</v>
      </c>
      <c r="G643">
        <v>132.91999999999999</v>
      </c>
      <c r="H643" t="str">
        <f>IFERROR(VLOOKUP(C643,Sheet4!B:C,2,0),"")</f>
        <v/>
      </c>
    </row>
    <row r="644" spans="1:8" x14ac:dyDescent="0.35">
      <c r="A644" t="s">
        <v>7</v>
      </c>
      <c r="B644" t="s">
        <v>8</v>
      </c>
      <c r="C644" t="s">
        <v>286</v>
      </c>
      <c r="D644" t="s">
        <v>93</v>
      </c>
      <c r="E644" t="s">
        <v>11</v>
      </c>
      <c r="F644">
        <v>5561.9</v>
      </c>
      <c r="G644">
        <v>2743.55</v>
      </c>
      <c r="H644" t="str">
        <f>IFERROR(VLOOKUP(C644,Sheet4!B:C,2,0),"")</f>
        <v/>
      </c>
    </row>
    <row r="645" spans="1:8" x14ac:dyDescent="0.35">
      <c r="A645" t="s">
        <v>7</v>
      </c>
      <c r="B645" t="s">
        <v>8</v>
      </c>
      <c r="C645" t="s">
        <v>287</v>
      </c>
      <c r="D645" t="s">
        <v>94</v>
      </c>
      <c r="E645" t="s">
        <v>10</v>
      </c>
      <c r="F645">
        <v>14992.17</v>
      </c>
      <c r="G645">
        <v>31366.5</v>
      </c>
      <c r="H645" t="str">
        <f>IFERROR(VLOOKUP(C645,Sheet4!B:C,2,0),"")</f>
        <v/>
      </c>
    </row>
    <row r="646" spans="1:8" x14ac:dyDescent="0.35">
      <c r="A646" t="s">
        <v>7</v>
      </c>
      <c r="B646" t="s">
        <v>8</v>
      </c>
      <c r="C646" t="s">
        <v>287</v>
      </c>
      <c r="D646" t="s">
        <v>94</v>
      </c>
      <c r="E646" t="s">
        <v>11</v>
      </c>
      <c r="F646">
        <v>568.82000000000005</v>
      </c>
      <c r="G646">
        <v>1492.04</v>
      </c>
      <c r="H646" t="str">
        <f>IFERROR(VLOOKUP(C646,Sheet4!B:C,2,0),"")</f>
        <v/>
      </c>
    </row>
    <row r="647" spans="1:8" x14ac:dyDescent="0.35">
      <c r="A647" t="s">
        <v>7</v>
      </c>
      <c r="B647" t="s">
        <v>8</v>
      </c>
      <c r="C647" t="s">
        <v>288</v>
      </c>
      <c r="D647" t="s">
        <v>95</v>
      </c>
      <c r="E647" t="s">
        <v>10</v>
      </c>
      <c r="F647">
        <v>23680.53</v>
      </c>
      <c r="G647">
        <v>13469.98</v>
      </c>
      <c r="H647" t="str">
        <f>IFERROR(VLOOKUP(C647,Sheet4!B:C,2,0),"")</f>
        <v/>
      </c>
    </row>
    <row r="648" spans="1:8" x14ac:dyDescent="0.35">
      <c r="A648" t="s">
        <v>7</v>
      </c>
      <c r="B648" t="s">
        <v>8</v>
      </c>
      <c r="C648" t="s">
        <v>288</v>
      </c>
      <c r="D648" t="s">
        <v>95</v>
      </c>
      <c r="E648" t="s">
        <v>11</v>
      </c>
      <c r="F648">
        <v>1310.4100000000001</v>
      </c>
      <c r="G648">
        <v>952.13</v>
      </c>
      <c r="H648" t="str">
        <f>IFERROR(VLOOKUP(C648,Sheet4!B:C,2,0),"")</f>
        <v/>
      </c>
    </row>
    <row r="649" spans="1:8" x14ac:dyDescent="0.35">
      <c r="A649" t="s">
        <v>7</v>
      </c>
      <c r="B649" t="s">
        <v>8</v>
      </c>
      <c r="C649" t="s">
        <v>289</v>
      </c>
      <c r="D649" t="s">
        <v>96</v>
      </c>
      <c r="E649" t="s">
        <v>10</v>
      </c>
      <c r="F649">
        <v>10145.44</v>
      </c>
      <c r="G649">
        <v>12915.43</v>
      </c>
      <c r="H649" t="str">
        <f>IFERROR(VLOOKUP(C649,Sheet4!B:C,2,0),"")</f>
        <v/>
      </c>
    </row>
    <row r="650" spans="1:8" x14ac:dyDescent="0.35">
      <c r="A650" t="s">
        <v>7</v>
      </c>
      <c r="B650" t="s">
        <v>8</v>
      </c>
      <c r="C650" t="s">
        <v>289</v>
      </c>
      <c r="D650" t="s">
        <v>96</v>
      </c>
      <c r="E650" t="s">
        <v>11</v>
      </c>
      <c r="F650">
        <v>3769.97</v>
      </c>
      <c r="G650">
        <v>4891.1499999999996</v>
      </c>
      <c r="H650" t="str">
        <f>IFERROR(VLOOKUP(C650,Sheet4!B:C,2,0),"")</f>
        <v/>
      </c>
    </row>
    <row r="651" spans="1:8" x14ac:dyDescent="0.35">
      <c r="A651" t="s">
        <v>7</v>
      </c>
      <c r="B651" t="s">
        <v>8</v>
      </c>
      <c r="C651" t="s">
        <v>289</v>
      </c>
      <c r="D651" t="s">
        <v>96</v>
      </c>
      <c r="E651" t="s">
        <v>30</v>
      </c>
      <c r="F651">
        <v>241.67</v>
      </c>
      <c r="H651" t="str">
        <f>IFERROR(VLOOKUP(C651,Sheet4!B:C,2,0),"")</f>
        <v/>
      </c>
    </row>
    <row r="652" spans="1:8" x14ac:dyDescent="0.35">
      <c r="A652" t="s">
        <v>7</v>
      </c>
      <c r="B652" t="s">
        <v>8</v>
      </c>
      <c r="C652" t="s">
        <v>289</v>
      </c>
      <c r="D652" t="s">
        <v>96</v>
      </c>
      <c r="E652" t="s">
        <v>12</v>
      </c>
      <c r="F652">
        <v>570</v>
      </c>
      <c r="G652">
        <v>2853.34</v>
      </c>
      <c r="H652" t="str">
        <f>IFERROR(VLOOKUP(C652,Sheet4!B:C,2,0),"")</f>
        <v/>
      </c>
    </row>
    <row r="653" spans="1:8" x14ac:dyDescent="0.35">
      <c r="A653" t="s">
        <v>7</v>
      </c>
      <c r="B653" t="s">
        <v>8</v>
      </c>
      <c r="C653" t="s">
        <v>291</v>
      </c>
      <c r="D653" t="s">
        <v>98</v>
      </c>
      <c r="E653" t="s">
        <v>11</v>
      </c>
      <c r="F653">
        <v>1347.78</v>
      </c>
      <c r="G653">
        <v>1758.55</v>
      </c>
      <c r="H653" t="str">
        <f>IFERROR(VLOOKUP(C653,Sheet4!B:C,2,0),"")</f>
        <v/>
      </c>
    </row>
    <row r="654" spans="1:8" x14ac:dyDescent="0.35">
      <c r="A654" t="s">
        <v>7</v>
      </c>
      <c r="B654" t="s">
        <v>8</v>
      </c>
      <c r="C654" t="s">
        <v>293</v>
      </c>
      <c r="D654" t="s">
        <v>100</v>
      </c>
      <c r="E654" t="s">
        <v>11</v>
      </c>
      <c r="F654">
        <v>1080</v>
      </c>
      <c r="G654">
        <v>1050</v>
      </c>
      <c r="H654" t="str">
        <f>IFERROR(VLOOKUP(C654,Sheet4!B:C,2,0),"")</f>
        <v/>
      </c>
    </row>
    <row r="655" spans="1:8" x14ac:dyDescent="0.35">
      <c r="A655" t="s">
        <v>7</v>
      </c>
      <c r="B655" t="s">
        <v>8</v>
      </c>
      <c r="C655" t="s">
        <v>294</v>
      </c>
      <c r="D655" t="s">
        <v>101</v>
      </c>
      <c r="E655" t="s">
        <v>10</v>
      </c>
      <c r="F655">
        <v>124.05</v>
      </c>
      <c r="G655">
        <v>230.94</v>
      </c>
      <c r="H655" t="str">
        <f>IFERROR(VLOOKUP(C655,Sheet4!B:C,2,0),"")</f>
        <v/>
      </c>
    </row>
    <row r="656" spans="1:8" x14ac:dyDescent="0.35">
      <c r="A656" t="s">
        <v>7</v>
      </c>
      <c r="B656" t="s">
        <v>8</v>
      </c>
      <c r="C656" t="s">
        <v>294</v>
      </c>
      <c r="D656" t="s">
        <v>101</v>
      </c>
      <c r="E656" t="s">
        <v>11</v>
      </c>
      <c r="F656">
        <v>-5306.54</v>
      </c>
      <c r="H656" t="str">
        <f>IFERROR(VLOOKUP(C656,Sheet4!B:C,2,0),"")</f>
        <v/>
      </c>
    </row>
    <row r="657" spans="1:8" x14ac:dyDescent="0.35">
      <c r="A657" t="s">
        <v>7</v>
      </c>
      <c r="B657" t="s">
        <v>8</v>
      </c>
      <c r="C657" t="s">
        <v>294</v>
      </c>
      <c r="D657" t="s">
        <v>101</v>
      </c>
      <c r="E657" t="s">
        <v>12</v>
      </c>
      <c r="G657">
        <v>135.03</v>
      </c>
      <c r="H657" t="str">
        <f>IFERROR(VLOOKUP(C657,Sheet4!B:C,2,0),"")</f>
        <v/>
      </c>
    </row>
    <row r="658" spans="1:8" x14ac:dyDescent="0.35">
      <c r="A658" t="s">
        <v>7</v>
      </c>
      <c r="B658" t="s">
        <v>8</v>
      </c>
      <c r="C658" t="s">
        <v>295</v>
      </c>
      <c r="D658" t="s">
        <v>102</v>
      </c>
      <c r="E658" t="s">
        <v>10</v>
      </c>
      <c r="F658">
        <v>96.41</v>
      </c>
      <c r="G658">
        <v>427.07</v>
      </c>
      <c r="H658" t="str">
        <f>IFERROR(VLOOKUP(C658,Sheet4!B:C,2,0),"")</f>
        <v/>
      </c>
    </row>
    <row r="659" spans="1:8" x14ac:dyDescent="0.35">
      <c r="A659" t="s">
        <v>7</v>
      </c>
      <c r="B659" t="s">
        <v>8</v>
      </c>
      <c r="C659" t="s">
        <v>295</v>
      </c>
      <c r="D659" t="s">
        <v>102</v>
      </c>
      <c r="E659" t="s">
        <v>11</v>
      </c>
      <c r="F659">
        <v>3897.52</v>
      </c>
      <c r="G659">
        <v>4536.12</v>
      </c>
      <c r="H659" t="str">
        <f>IFERROR(VLOOKUP(C659,Sheet4!B:C,2,0),"")</f>
        <v/>
      </c>
    </row>
    <row r="660" spans="1:8" x14ac:dyDescent="0.35">
      <c r="A660" t="s">
        <v>7</v>
      </c>
      <c r="B660" t="s">
        <v>8</v>
      </c>
      <c r="C660" t="s">
        <v>295</v>
      </c>
      <c r="D660" t="s">
        <v>102</v>
      </c>
      <c r="E660" t="s">
        <v>12</v>
      </c>
      <c r="F660">
        <v>7906.96</v>
      </c>
      <c r="G660">
        <v>9922.8700000000008</v>
      </c>
      <c r="H660" t="str">
        <f>IFERROR(VLOOKUP(C660,Sheet4!B:C,2,0),"")</f>
        <v/>
      </c>
    </row>
    <row r="661" spans="1:8" x14ac:dyDescent="0.35">
      <c r="A661" t="s">
        <v>7</v>
      </c>
      <c r="B661" t="s">
        <v>8</v>
      </c>
      <c r="C661" t="s">
        <v>296</v>
      </c>
      <c r="D661" t="s">
        <v>103</v>
      </c>
      <c r="E661" t="s">
        <v>12</v>
      </c>
      <c r="F661">
        <v>-77.069999999999993</v>
      </c>
      <c r="G661">
        <v>-441.81</v>
      </c>
      <c r="H661" t="str">
        <f>IFERROR(VLOOKUP(C661,Sheet4!B:C,2,0),"")</f>
        <v/>
      </c>
    </row>
    <row r="662" spans="1:8" x14ac:dyDescent="0.35">
      <c r="A662" t="s">
        <v>7</v>
      </c>
      <c r="B662" t="s">
        <v>8</v>
      </c>
      <c r="C662" t="s">
        <v>297</v>
      </c>
      <c r="D662" t="s">
        <v>104</v>
      </c>
      <c r="E662" t="s">
        <v>29</v>
      </c>
      <c r="F662">
        <v>113.73</v>
      </c>
      <c r="G662">
        <v>41.32</v>
      </c>
      <c r="H662" t="str">
        <f>IFERROR(VLOOKUP(C662,Sheet4!B:C,2,0),"")</f>
        <v/>
      </c>
    </row>
    <row r="663" spans="1:8" x14ac:dyDescent="0.35">
      <c r="A663" t="s">
        <v>7</v>
      </c>
      <c r="B663" t="s">
        <v>8</v>
      </c>
      <c r="C663" t="s">
        <v>297</v>
      </c>
      <c r="D663" t="s">
        <v>104</v>
      </c>
      <c r="E663" t="s">
        <v>10</v>
      </c>
      <c r="F663">
        <v>-27345.08</v>
      </c>
      <c r="G663">
        <v>-95702.73</v>
      </c>
      <c r="H663" t="str">
        <f>IFERROR(VLOOKUP(C663,Sheet4!B:C,2,0),"")</f>
        <v/>
      </c>
    </row>
    <row r="664" spans="1:8" x14ac:dyDescent="0.35">
      <c r="A664" t="s">
        <v>7</v>
      </c>
      <c r="B664" t="s">
        <v>8</v>
      </c>
      <c r="C664" t="s">
        <v>297</v>
      </c>
      <c r="D664" t="s">
        <v>104</v>
      </c>
      <c r="E664" t="s">
        <v>11</v>
      </c>
      <c r="F664">
        <v>25495.53</v>
      </c>
      <c r="G664">
        <v>21276.22</v>
      </c>
      <c r="H664" t="str">
        <f>IFERROR(VLOOKUP(C664,Sheet4!B:C,2,0),"")</f>
        <v/>
      </c>
    </row>
    <row r="665" spans="1:8" x14ac:dyDescent="0.35">
      <c r="A665" t="s">
        <v>7</v>
      </c>
      <c r="B665" t="s">
        <v>8</v>
      </c>
      <c r="C665" t="s">
        <v>297</v>
      </c>
      <c r="D665" t="s">
        <v>104</v>
      </c>
      <c r="E665" t="s">
        <v>12</v>
      </c>
      <c r="F665">
        <v>1471.63</v>
      </c>
      <c r="G665">
        <v>-60279.57</v>
      </c>
      <c r="H665" t="str">
        <f>IFERROR(VLOOKUP(C665,Sheet4!B:C,2,0),"")</f>
        <v/>
      </c>
    </row>
    <row r="666" spans="1:8" x14ac:dyDescent="0.35">
      <c r="A666" t="s">
        <v>7</v>
      </c>
      <c r="B666" t="s">
        <v>8</v>
      </c>
      <c r="C666" t="s">
        <v>130</v>
      </c>
      <c r="D666" t="s">
        <v>131</v>
      </c>
      <c r="E666" t="s">
        <v>11</v>
      </c>
      <c r="F666">
        <v>-5631.54</v>
      </c>
      <c r="G666">
        <v>0</v>
      </c>
      <c r="H666" t="str">
        <f>IFERROR(VLOOKUP(C666,Sheet4!B:C,2,0),"")</f>
        <v>Other Period Expense</v>
      </c>
    </row>
    <row r="667" spans="1:8" x14ac:dyDescent="0.35">
      <c r="A667" t="s">
        <v>7</v>
      </c>
      <c r="B667" t="s">
        <v>8</v>
      </c>
      <c r="C667" t="s">
        <v>136</v>
      </c>
      <c r="D667" t="s">
        <v>137</v>
      </c>
      <c r="E667" t="s">
        <v>12</v>
      </c>
      <c r="F667">
        <v>-84486.76</v>
      </c>
      <c r="G667">
        <v>52662.45</v>
      </c>
      <c r="H667" t="str">
        <f>IFERROR(VLOOKUP(C667,Sheet4!B:C,2,0),"")</f>
        <v>Other Period Expense</v>
      </c>
    </row>
    <row r="668" spans="1:8" x14ac:dyDescent="0.35">
      <c r="A668" t="s">
        <v>7</v>
      </c>
      <c r="B668" t="s">
        <v>8</v>
      </c>
      <c r="C668" t="s">
        <v>138</v>
      </c>
      <c r="D668" t="s">
        <v>139</v>
      </c>
      <c r="E668" t="s">
        <v>12</v>
      </c>
      <c r="F668">
        <v>-228.98</v>
      </c>
      <c r="G668">
        <v>47</v>
      </c>
      <c r="H668" t="str">
        <f>IFERROR(VLOOKUP(C668,Sheet4!B:C,2,0),"")</f>
        <v>Other Period Expense</v>
      </c>
    </row>
    <row r="669" spans="1:8" x14ac:dyDescent="0.35">
      <c r="A669" t="s">
        <v>7</v>
      </c>
      <c r="B669" t="s">
        <v>8</v>
      </c>
      <c r="C669" t="s">
        <v>140</v>
      </c>
      <c r="D669" t="s">
        <v>141</v>
      </c>
      <c r="E669" t="s">
        <v>12</v>
      </c>
      <c r="G669">
        <v>-19168.36</v>
      </c>
      <c r="H669" t="str">
        <f>IFERROR(VLOOKUP(C669,Sheet4!B:C,2,0),"")</f>
        <v>Other Period Expense</v>
      </c>
    </row>
    <row r="670" spans="1:8" x14ac:dyDescent="0.35">
      <c r="A670" t="s">
        <v>7</v>
      </c>
      <c r="B670" t="s">
        <v>8</v>
      </c>
      <c r="C670" t="s">
        <v>142</v>
      </c>
      <c r="D670" t="s">
        <v>143</v>
      </c>
      <c r="E670" t="s">
        <v>12</v>
      </c>
      <c r="F670">
        <v>-0.05</v>
      </c>
      <c r="H670" t="str">
        <f>IFERROR(VLOOKUP(C670,Sheet4!B:C,2,0),"")</f>
        <v>Other Period Expense</v>
      </c>
    </row>
    <row r="671" spans="1:8" x14ac:dyDescent="0.35">
      <c r="A671" t="s">
        <v>7</v>
      </c>
      <c r="B671" t="s">
        <v>8</v>
      </c>
      <c r="C671" t="s">
        <v>354</v>
      </c>
      <c r="D671" t="s">
        <v>353</v>
      </c>
      <c r="E671" t="s">
        <v>29</v>
      </c>
      <c r="F671">
        <v>0</v>
      </c>
      <c r="G671">
        <v>-8259.9599999999991</v>
      </c>
      <c r="H671" t="str">
        <f>IFERROR(VLOOKUP(C671,Sheet4!B:C,2,0),"")</f>
        <v/>
      </c>
    </row>
    <row r="672" spans="1:8" x14ac:dyDescent="0.35">
      <c r="A672" t="s">
        <v>7</v>
      </c>
      <c r="B672" t="s">
        <v>8</v>
      </c>
      <c r="C672" t="s">
        <v>354</v>
      </c>
      <c r="D672" t="s">
        <v>353</v>
      </c>
      <c r="E672" t="s">
        <v>10</v>
      </c>
      <c r="F672">
        <v>-573875.56999999995</v>
      </c>
      <c r="G672">
        <v>-563715.65</v>
      </c>
      <c r="H672" t="str">
        <f>IFERROR(VLOOKUP(C672,Sheet4!B:C,2,0),"")</f>
        <v/>
      </c>
    </row>
    <row r="673" spans="1:8" x14ac:dyDescent="0.35">
      <c r="A673" t="s">
        <v>7</v>
      </c>
      <c r="B673" t="s">
        <v>8</v>
      </c>
      <c r="C673" t="s">
        <v>354</v>
      </c>
      <c r="D673" t="s">
        <v>353</v>
      </c>
      <c r="E673" t="s">
        <v>11</v>
      </c>
      <c r="F673">
        <v>21568.76</v>
      </c>
      <c r="G673">
        <v>-4728.01</v>
      </c>
      <c r="H673" t="str">
        <f>IFERROR(VLOOKUP(C673,Sheet4!B:C,2,0),"")</f>
        <v/>
      </c>
    </row>
    <row r="674" spans="1:8" x14ac:dyDescent="0.35">
      <c r="A674" t="s">
        <v>7</v>
      </c>
      <c r="B674" t="s">
        <v>8</v>
      </c>
      <c r="C674" t="s">
        <v>354</v>
      </c>
      <c r="D674" t="s">
        <v>353</v>
      </c>
      <c r="E674" t="s">
        <v>30</v>
      </c>
      <c r="F674">
        <v>0</v>
      </c>
      <c r="G674">
        <v>0</v>
      </c>
      <c r="H674" t="str">
        <f>IFERROR(VLOOKUP(C674,Sheet4!B:C,2,0),"")</f>
        <v/>
      </c>
    </row>
    <row r="675" spans="1:8" x14ac:dyDescent="0.35">
      <c r="A675" t="s">
        <v>7</v>
      </c>
      <c r="B675" t="s">
        <v>8</v>
      </c>
      <c r="C675" t="s">
        <v>354</v>
      </c>
      <c r="D675" t="s">
        <v>353</v>
      </c>
      <c r="E675" t="s">
        <v>12</v>
      </c>
      <c r="F675">
        <v>-31844.23</v>
      </c>
      <c r="G675">
        <v>-26635.67</v>
      </c>
      <c r="H675" t="str">
        <f>IFERROR(VLOOKUP(C675,Sheet4!B:C,2,0),"")</f>
        <v/>
      </c>
    </row>
    <row r="676" spans="1:8" x14ac:dyDescent="0.35">
      <c r="A676" t="s">
        <v>7</v>
      </c>
      <c r="B676" t="s">
        <v>8</v>
      </c>
      <c r="C676" t="s">
        <v>132</v>
      </c>
      <c r="D676" t="s">
        <v>133</v>
      </c>
      <c r="E676" t="s">
        <v>29</v>
      </c>
      <c r="F676">
        <v>141242.29999999999</v>
      </c>
      <c r="G676">
        <v>101408.46</v>
      </c>
      <c r="H676" t="str">
        <f>IFERROR(VLOOKUP(C676,Sheet4!B:C,2,0),"")</f>
        <v>Other Period Expense</v>
      </c>
    </row>
    <row r="677" spans="1:8" x14ac:dyDescent="0.35">
      <c r="A677" t="s">
        <v>7</v>
      </c>
      <c r="B677" t="s">
        <v>8</v>
      </c>
      <c r="C677" t="s">
        <v>132</v>
      </c>
      <c r="D677" t="s">
        <v>133</v>
      </c>
      <c r="E677" t="s">
        <v>10</v>
      </c>
      <c r="F677">
        <v>6853813.3200000003</v>
      </c>
      <c r="G677">
        <v>5883161.9800000004</v>
      </c>
      <c r="H677" t="str">
        <f>IFERROR(VLOOKUP(C677,Sheet4!B:C,2,0),"")</f>
        <v>Other Period Expense</v>
      </c>
    </row>
    <row r="678" spans="1:8" x14ac:dyDescent="0.35">
      <c r="A678" t="s">
        <v>7</v>
      </c>
      <c r="B678" t="s">
        <v>8</v>
      </c>
      <c r="C678" t="s">
        <v>132</v>
      </c>
      <c r="D678" t="s">
        <v>133</v>
      </c>
      <c r="E678" t="s">
        <v>11</v>
      </c>
      <c r="F678">
        <v>6537197.4100000001</v>
      </c>
      <c r="G678">
        <v>5513403.75</v>
      </c>
      <c r="H678" t="str">
        <f>IFERROR(VLOOKUP(C678,Sheet4!B:C,2,0),"")</f>
        <v>Other Period Expense</v>
      </c>
    </row>
    <row r="679" spans="1:8" x14ac:dyDescent="0.35">
      <c r="A679" t="s">
        <v>7</v>
      </c>
      <c r="B679" t="s">
        <v>8</v>
      </c>
      <c r="C679" t="s">
        <v>132</v>
      </c>
      <c r="D679" t="s">
        <v>133</v>
      </c>
      <c r="E679" t="s">
        <v>30</v>
      </c>
      <c r="F679">
        <v>139994.01</v>
      </c>
      <c r="G679">
        <v>99431.43</v>
      </c>
      <c r="H679" t="str">
        <f>IFERROR(VLOOKUP(C679,Sheet4!B:C,2,0),"")</f>
        <v>Other Period Expense</v>
      </c>
    </row>
    <row r="680" spans="1:8" x14ac:dyDescent="0.35">
      <c r="A680" t="s">
        <v>7</v>
      </c>
      <c r="B680" t="s">
        <v>8</v>
      </c>
      <c r="C680" t="s">
        <v>132</v>
      </c>
      <c r="D680" t="s">
        <v>133</v>
      </c>
      <c r="E680" t="s">
        <v>12</v>
      </c>
      <c r="F680">
        <v>792457.79</v>
      </c>
      <c r="G680">
        <v>908120.09</v>
      </c>
      <c r="H680" t="str">
        <f>IFERROR(VLOOKUP(C680,Sheet4!B:C,2,0),"")</f>
        <v>Other Period Expense</v>
      </c>
    </row>
    <row r="681" spans="1:8" x14ac:dyDescent="0.35">
      <c r="A681" t="s">
        <v>7</v>
      </c>
      <c r="B681" t="s">
        <v>8</v>
      </c>
      <c r="C681" t="s">
        <v>134</v>
      </c>
      <c r="D681" t="s">
        <v>135</v>
      </c>
      <c r="E681" t="s">
        <v>29</v>
      </c>
      <c r="F681">
        <v>-141242.29999999999</v>
      </c>
      <c r="G681">
        <v>-109668.42</v>
      </c>
      <c r="H681" t="str">
        <f>IFERROR(VLOOKUP(C681,Sheet4!B:C,2,0),"")</f>
        <v>Other Period Expense</v>
      </c>
    </row>
    <row r="682" spans="1:8" x14ac:dyDescent="0.35">
      <c r="A682" t="s">
        <v>7</v>
      </c>
      <c r="B682" t="s">
        <v>8</v>
      </c>
      <c r="C682" t="s">
        <v>134</v>
      </c>
      <c r="D682" t="s">
        <v>135</v>
      </c>
      <c r="E682" t="s">
        <v>10</v>
      </c>
      <c r="F682">
        <v>-7427688.8899999997</v>
      </c>
      <c r="G682">
        <v>-6446877.6299999999</v>
      </c>
      <c r="H682" t="str">
        <f>IFERROR(VLOOKUP(C682,Sheet4!B:C,2,0),"")</f>
        <v>Other Period Expense</v>
      </c>
    </row>
    <row r="683" spans="1:8" x14ac:dyDescent="0.35">
      <c r="A683" t="s">
        <v>7</v>
      </c>
      <c r="B683" t="s">
        <v>8</v>
      </c>
      <c r="C683" t="s">
        <v>134</v>
      </c>
      <c r="D683" t="s">
        <v>135</v>
      </c>
      <c r="E683" t="s">
        <v>11</v>
      </c>
      <c r="F683">
        <v>-6515628.6500000004</v>
      </c>
      <c r="G683">
        <v>-5518131.7599999998</v>
      </c>
      <c r="H683" t="str">
        <f>IFERROR(VLOOKUP(C683,Sheet4!B:C,2,0),"")</f>
        <v>Other Period Expense</v>
      </c>
    </row>
    <row r="684" spans="1:8" x14ac:dyDescent="0.35">
      <c r="A684" t="s">
        <v>7</v>
      </c>
      <c r="B684" t="s">
        <v>8</v>
      </c>
      <c r="C684" t="s">
        <v>134</v>
      </c>
      <c r="D684" t="s">
        <v>135</v>
      </c>
      <c r="E684" t="s">
        <v>30</v>
      </c>
      <c r="F684">
        <v>-139994.01</v>
      </c>
      <c r="G684">
        <v>-99431.43</v>
      </c>
      <c r="H684" t="str">
        <f>IFERROR(VLOOKUP(C684,Sheet4!B:C,2,0),"")</f>
        <v>Other Period Expense</v>
      </c>
    </row>
    <row r="685" spans="1:8" x14ac:dyDescent="0.35">
      <c r="A685" t="s">
        <v>7</v>
      </c>
      <c r="B685" t="s">
        <v>8</v>
      </c>
      <c r="C685" t="s">
        <v>134</v>
      </c>
      <c r="D685" t="s">
        <v>135</v>
      </c>
      <c r="E685" t="s">
        <v>12</v>
      </c>
      <c r="F685">
        <v>-824302.02</v>
      </c>
      <c r="G685">
        <v>-934755.76</v>
      </c>
      <c r="H685" t="str">
        <f>IFERROR(VLOOKUP(C685,Sheet4!B:C,2,0),"")</f>
        <v>Other Period Expense</v>
      </c>
    </row>
    <row r="686" spans="1:8" x14ac:dyDescent="0.35">
      <c r="A686" t="s">
        <v>7</v>
      </c>
      <c r="B686" t="s">
        <v>8</v>
      </c>
      <c r="C686" t="s">
        <v>355</v>
      </c>
      <c r="D686" t="s">
        <v>189</v>
      </c>
      <c r="E686" t="s">
        <v>29</v>
      </c>
      <c r="F686">
        <v>-11441.29</v>
      </c>
      <c r="G686">
        <v>-5651.42</v>
      </c>
      <c r="H686" t="str">
        <f>IFERROR(VLOOKUP(C686,Sheet4!B:C,2,0),"")</f>
        <v/>
      </c>
    </row>
    <row r="687" spans="1:8" x14ac:dyDescent="0.35">
      <c r="A687" t="s">
        <v>7</v>
      </c>
      <c r="B687" t="s">
        <v>8</v>
      </c>
      <c r="C687" t="s">
        <v>355</v>
      </c>
      <c r="D687" t="s">
        <v>189</v>
      </c>
      <c r="E687" t="s">
        <v>10</v>
      </c>
      <c r="F687">
        <v>93964.800000000003</v>
      </c>
      <c r="G687">
        <v>-34272.949999999997</v>
      </c>
      <c r="H687" t="str">
        <f>IFERROR(VLOOKUP(C687,Sheet4!B:C,2,0),"")</f>
        <v/>
      </c>
    </row>
    <row r="688" spans="1:8" x14ac:dyDescent="0.35">
      <c r="A688" t="s">
        <v>7</v>
      </c>
      <c r="B688" t="s">
        <v>8</v>
      </c>
      <c r="C688" t="s">
        <v>355</v>
      </c>
      <c r="D688" t="s">
        <v>189</v>
      </c>
      <c r="E688" t="s">
        <v>11</v>
      </c>
      <c r="F688">
        <v>10152.049999999999</v>
      </c>
      <c r="G688">
        <v>-12474.98</v>
      </c>
      <c r="H688" t="str">
        <f>IFERROR(VLOOKUP(C688,Sheet4!B:C,2,0),"")</f>
        <v/>
      </c>
    </row>
    <row r="689" spans="1:8" x14ac:dyDescent="0.35">
      <c r="A689" t="s">
        <v>7</v>
      </c>
      <c r="B689" t="s">
        <v>8</v>
      </c>
      <c r="C689" t="s">
        <v>355</v>
      </c>
      <c r="D689" t="s">
        <v>189</v>
      </c>
      <c r="E689" t="s">
        <v>12</v>
      </c>
      <c r="F689">
        <v>145273.49</v>
      </c>
      <c r="G689">
        <v>141083.70000000001</v>
      </c>
      <c r="H689" t="str">
        <f>IFERROR(VLOOKUP(C689,Sheet4!B:C,2,0),"")</f>
        <v/>
      </c>
    </row>
    <row r="690" spans="1:8" x14ac:dyDescent="0.35">
      <c r="A690" t="s">
        <v>7</v>
      </c>
      <c r="B690" t="s">
        <v>8</v>
      </c>
      <c r="C690" t="s">
        <v>273</v>
      </c>
      <c r="D690" t="s">
        <v>80</v>
      </c>
      <c r="E690" t="s">
        <v>29</v>
      </c>
      <c r="F690">
        <v>16203</v>
      </c>
      <c r="G690">
        <v>16203</v>
      </c>
      <c r="H690" t="str">
        <f>IFERROR(VLOOKUP(C690,Sheet4!B:C,2,0),"")</f>
        <v/>
      </c>
    </row>
    <row r="691" spans="1:8" x14ac:dyDescent="0.35">
      <c r="A691" t="s">
        <v>7</v>
      </c>
      <c r="B691" t="s">
        <v>8</v>
      </c>
      <c r="C691" t="s">
        <v>273</v>
      </c>
      <c r="D691" t="s">
        <v>80</v>
      </c>
      <c r="E691" t="s">
        <v>10</v>
      </c>
      <c r="F691">
        <v>54392.74</v>
      </c>
      <c r="G691">
        <v>15878.63</v>
      </c>
      <c r="H691" t="str">
        <f>IFERROR(VLOOKUP(C691,Sheet4!B:C,2,0),"")</f>
        <v/>
      </c>
    </row>
    <row r="692" spans="1:8" x14ac:dyDescent="0.35">
      <c r="A692" t="s">
        <v>7</v>
      </c>
      <c r="B692" t="s">
        <v>8</v>
      </c>
      <c r="C692" t="s">
        <v>273</v>
      </c>
      <c r="D692" t="s">
        <v>80</v>
      </c>
      <c r="E692" t="s">
        <v>11</v>
      </c>
      <c r="F692">
        <v>55649.34</v>
      </c>
      <c r="G692">
        <v>35494.400000000001</v>
      </c>
      <c r="H692" t="str">
        <f>IFERROR(VLOOKUP(C692,Sheet4!B:C,2,0),"")</f>
        <v/>
      </c>
    </row>
    <row r="693" spans="1:8" x14ac:dyDescent="0.35">
      <c r="A693" t="s">
        <v>7</v>
      </c>
      <c r="B693" t="s">
        <v>8</v>
      </c>
      <c r="C693" t="s">
        <v>273</v>
      </c>
      <c r="D693" t="s">
        <v>80</v>
      </c>
      <c r="E693" t="s">
        <v>12</v>
      </c>
      <c r="F693">
        <v>118015.25</v>
      </c>
      <c r="G693">
        <v>114577.91</v>
      </c>
      <c r="H693" t="str">
        <f>IFERROR(VLOOKUP(C693,Sheet4!B:C,2,0),"")</f>
        <v/>
      </c>
    </row>
    <row r="694" spans="1:8" x14ac:dyDescent="0.35">
      <c r="A694" t="s">
        <v>7</v>
      </c>
      <c r="B694" t="s">
        <v>8</v>
      </c>
      <c r="C694" t="s">
        <v>274</v>
      </c>
      <c r="D694" t="s">
        <v>81</v>
      </c>
      <c r="E694" t="s">
        <v>29</v>
      </c>
      <c r="F694">
        <v>4086</v>
      </c>
      <c r="G694">
        <v>4086</v>
      </c>
      <c r="H694" t="str">
        <f>IFERROR(VLOOKUP(C694,Sheet4!B:C,2,0),"")</f>
        <v/>
      </c>
    </row>
    <row r="695" spans="1:8" x14ac:dyDescent="0.35">
      <c r="A695" t="s">
        <v>7</v>
      </c>
      <c r="B695" t="s">
        <v>8</v>
      </c>
      <c r="C695" t="s">
        <v>274</v>
      </c>
      <c r="D695" t="s">
        <v>81</v>
      </c>
      <c r="E695" t="s">
        <v>10</v>
      </c>
      <c r="F695">
        <v>41045.71</v>
      </c>
      <c r="G695">
        <v>51136.29</v>
      </c>
      <c r="H695" t="str">
        <f>IFERROR(VLOOKUP(C695,Sheet4!B:C,2,0),"")</f>
        <v/>
      </c>
    </row>
    <row r="696" spans="1:8" x14ac:dyDescent="0.35">
      <c r="A696" t="s">
        <v>7</v>
      </c>
      <c r="B696" t="s">
        <v>8</v>
      </c>
      <c r="C696" t="s">
        <v>274</v>
      </c>
      <c r="D696" t="s">
        <v>81</v>
      </c>
      <c r="E696" t="s">
        <v>11</v>
      </c>
      <c r="F696">
        <v>12258</v>
      </c>
      <c r="G696">
        <v>20430</v>
      </c>
      <c r="H696" t="str">
        <f>IFERROR(VLOOKUP(C696,Sheet4!B:C,2,0),"")</f>
        <v/>
      </c>
    </row>
    <row r="697" spans="1:8" x14ac:dyDescent="0.35">
      <c r="A697" t="s">
        <v>7</v>
      </c>
      <c r="B697" t="s">
        <v>8</v>
      </c>
      <c r="C697" t="s">
        <v>275</v>
      </c>
      <c r="D697" t="s">
        <v>82</v>
      </c>
      <c r="E697" t="s">
        <v>29</v>
      </c>
      <c r="F697">
        <v>-31730.29</v>
      </c>
      <c r="G697">
        <v>-25940.42</v>
      </c>
      <c r="H697" t="str">
        <f>IFERROR(VLOOKUP(C697,Sheet4!B:C,2,0),"")</f>
        <v/>
      </c>
    </row>
    <row r="698" spans="1:8" x14ac:dyDescent="0.35">
      <c r="A698" t="s">
        <v>7</v>
      </c>
      <c r="B698" t="s">
        <v>8</v>
      </c>
      <c r="C698" t="s">
        <v>275</v>
      </c>
      <c r="D698" t="s">
        <v>82</v>
      </c>
      <c r="E698" t="s">
        <v>10</v>
      </c>
      <c r="F698">
        <v>-8666.65</v>
      </c>
      <c r="G698">
        <v>-112247.67999999999</v>
      </c>
      <c r="H698" t="str">
        <f>IFERROR(VLOOKUP(C698,Sheet4!B:C,2,0),"")</f>
        <v/>
      </c>
    </row>
    <row r="699" spans="1:8" x14ac:dyDescent="0.35">
      <c r="A699" t="s">
        <v>7</v>
      </c>
      <c r="B699" t="s">
        <v>8</v>
      </c>
      <c r="C699" t="s">
        <v>275</v>
      </c>
      <c r="D699" t="s">
        <v>82</v>
      </c>
      <c r="E699" t="s">
        <v>11</v>
      </c>
      <c r="F699">
        <v>-8557.92</v>
      </c>
      <c r="G699">
        <v>-7390.18</v>
      </c>
      <c r="H699" t="str">
        <f>IFERROR(VLOOKUP(C699,Sheet4!B:C,2,0),"")</f>
        <v/>
      </c>
    </row>
    <row r="700" spans="1:8" x14ac:dyDescent="0.35">
      <c r="A700" t="s">
        <v>7</v>
      </c>
      <c r="B700" t="s">
        <v>8</v>
      </c>
      <c r="C700" t="s">
        <v>275</v>
      </c>
      <c r="D700" t="s">
        <v>82</v>
      </c>
      <c r="E700" t="s">
        <v>12</v>
      </c>
      <c r="F700">
        <v>-43562.58</v>
      </c>
      <c r="G700">
        <v>-29505.86</v>
      </c>
      <c r="H700" t="str">
        <f>IFERROR(VLOOKUP(C700,Sheet4!B:C,2,0),"")</f>
        <v/>
      </c>
    </row>
    <row r="701" spans="1:8" x14ac:dyDescent="0.35">
      <c r="A701" t="s">
        <v>7</v>
      </c>
      <c r="B701" t="s">
        <v>8</v>
      </c>
      <c r="C701" t="s">
        <v>276</v>
      </c>
      <c r="D701" t="s">
        <v>83</v>
      </c>
      <c r="E701" t="s">
        <v>11</v>
      </c>
      <c r="F701">
        <v>-57897.99</v>
      </c>
      <c r="G701">
        <v>-62180.34</v>
      </c>
      <c r="H701" t="str">
        <f>IFERROR(VLOOKUP(C701,Sheet4!B:C,2,0),"")</f>
        <v/>
      </c>
    </row>
    <row r="702" spans="1:8" x14ac:dyDescent="0.35">
      <c r="A702" t="s">
        <v>7</v>
      </c>
      <c r="B702" t="s">
        <v>8</v>
      </c>
      <c r="C702" t="s">
        <v>278</v>
      </c>
      <c r="D702" t="s">
        <v>85</v>
      </c>
      <c r="E702" t="s">
        <v>10</v>
      </c>
      <c r="F702">
        <v>7193</v>
      </c>
      <c r="G702">
        <v>10959.81</v>
      </c>
      <c r="H702" t="str">
        <f>IFERROR(VLOOKUP(C702,Sheet4!B:C,2,0),"")</f>
        <v/>
      </c>
    </row>
    <row r="703" spans="1:8" x14ac:dyDescent="0.35">
      <c r="A703" t="s">
        <v>7</v>
      </c>
      <c r="B703" t="s">
        <v>8</v>
      </c>
      <c r="C703" t="s">
        <v>278</v>
      </c>
      <c r="D703" t="s">
        <v>85</v>
      </c>
      <c r="E703" t="s">
        <v>11</v>
      </c>
      <c r="F703">
        <v>8700.6200000000008</v>
      </c>
      <c r="G703">
        <v>1171.1400000000001</v>
      </c>
      <c r="H703" t="str">
        <f>IFERROR(VLOOKUP(C703,Sheet4!B:C,2,0),"")</f>
        <v/>
      </c>
    </row>
    <row r="704" spans="1:8" x14ac:dyDescent="0.35">
      <c r="A704" t="s">
        <v>7</v>
      </c>
      <c r="B704" t="s">
        <v>8</v>
      </c>
      <c r="C704" t="s">
        <v>278</v>
      </c>
      <c r="D704" t="s">
        <v>85</v>
      </c>
      <c r="E704" t="s">
        <v>12</v>
      </c>
      <c r="F704">
        <v>70820.820000000007</v>
      </c>
      <c r="G704">
        <v>56011.65</v>
      </c>
      <c r="H704" t="str">
        <f>IFERROR(VLOOKUP(C704,Sheet4!B:C,2,0),"")</f>
        <v/>
      </c>
    </row>
    <row r="705" spans="1:8" x14ac:dyDescent="0.35">
      <c r="A705" t="s">
        <v>7</v>
      </c>
      <c r="B705" t="s">
        <v>8</v>
      </c>
      <c r="C705" t="s">
        <v>150</v>
      </c>
      <c r="D705" t="s">
        <v>151</v>
      </c>
      <c r="E705" t="s">
        <v>152</v>
      </c>
      <c r="F705">
        <v>0</v>
      </c>
      <c r="G705">
        <v>-12733.13</v>
      </c>
      <c r="H705" t="str">
        <f>IFERROR(VLOOKUP(C705,Sheet4!B:C,2,0),"")</f>
        <v/>
      </c>
    </row>
    <row r="706" spans="1:8" x14ac:dyDescent="0.35">
      <c r="A706" t="s">
        <v>7</v>
      </c>
      <c r="B706" t="s">
        <v>8</v>
      </c>
      <c r="C706" t="s">
        <v>150</v>
      </c>
      <c r="D706" t="s">
        <v>151</v>
      </c>
      <c r="E706" t="s">
        <v>29</v>
      </c>
      <c r="F706">
        <v>-141242.29999999999</v>
      </c>
      <c r="G706">
        <v>-109668.42</v>
      </c>
      <c r="H706" t="str">
        <f>IFERROR(VLOOKUP(C706,Sheet4!B:C,2,0),"")</f>
        <v/>
      </c>
    </row>
    <row r="707" spans="1:8" x14ac:dyDescent="0.35">
      <c r="A707" t="s">
        <v>7</v>
      </c>
      <c r="B707" t="s">
        <v>8</v>
      </c>
      <c r="C707" t="s">
        <v>150</v>
      </c>
      <c r="D707" t="s">
        <v>151</v>
      </c>
      <c r="E707" t="s">
        <v>10</v>
      </c>
      <c r="F707">
        <v>-7314437.4900000002</v>
      </c>
      <c r="G707">
        <v>-6188612.8499999996</v>
      </c>
      <c r="H707" t="str">
        <f>IFERROR(VLOOKUP(C707,Sheet4!B:C,2,0),"")</f>
        <v/>
      </c>
    </row>
    <row r="708" spans="1:8" x14ac:dyDescent="0.35">
      <c r="A708" t="s">
        <v>7</v>
      </c>
      <c r="B708" t="s">
        <v>8</v>
      </c>
      <c r="C708" t="s">
        <v>150</v>
      </c>
      <c r="D708" t="s">
        <v>151</v>
      </c>
      <c r="E708" t="s">
        <v>11</v>
      </c>
      <c r="F708">
        <v>-6391675.1900000004</v>
      </c>
      <c r="G708">
        <v>-5421838.4299999997</v>
      </c>
      <c r="H708" t="str">
        <f>IFERROR(VLOOKUP(C708,Sheet4!B:C,2,0),"")</f>
        <v/>
      </c>
    </row>
    <row r="709" spans="1:8" x14ac:dyDescent="0.35">
      <c r="A709" t="s">
        <v>7</v>
      </c>
      <c r="B709" t="s">
        <v>8</v>
      </c>
      <c r="C709" t="s">
        <v>150</v>
      </c>
      <c r="D709" t="s">
        <v>151</v>
      </c>
      <c r="E709" t="s">
        <v>30</v>
      </c>
      <c r="F709">
        <v>-139994.01</v>
      </c>
      <c r="G709">
        <v>-99431.43</v>
      </c>
      <c r="H709" t="str">
        <f>IFERROR(VLOOKUP(C709,Sheet4!B:C,2,0),"")</f>
        <v/>
      </c>
    </row>
    <row r="710" spans="1:8" x14ac:dyDescent="0.35">
      <c r="A710" t="s">
        <v>7</v>
      </c>
      <c r="B710" t="s">
        <v>8</v>
      </c>
      <c r="C710" t="s">
        <v>150</v>
      </c>
      <c r="D710" t="s">
        <v>151</v>
      </c>
      <c r="E710" t="s">
        <v>12</v>
      </c>
      <c r="F710">
        <v>-909017.81</v>
      </c>
      <c r="G710">
        <v>-901214.67</v>
      </c>
      <c r="H710" t="str">
        <f>IFERROR(VLOOKUP(C710,Sheet4!B:C,2,0),"")</f>
        <v/>
      </c>
    </row>
  </sheetData>
  <autoFilter ref="A1:H1" xr:uid="{3F4B37A7-C7B6-4230-BB9C-AED57E531F60}"/>
  <pageMargins left="0.7" right="0.7" top="0.75" bottom="0.75" header="0.3" footer="0.3"/>
  <customProperties>
    <customPr name="_pios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332E-A443-4BB8-B437-16E2E7FA62AE}">
  <dimension ref="B1:D304"/>
  <sheetViews>
    <sheetView tabSelected="1" topLeftCell="A288" workbookViewId="0">
      <selection activeCell="B1" sqref="B1:D304"/>
    </sheetView>
  </sheetViews>
  <sheetFormatPr defaultRowHeight="14.5" x14ac:dyDescent="0.35"/>
  <cols>
    <col min="3" max="3" width="33.90625" bestFit="1" customWidth="1"/>
  </cols>
  <sheetData>
    <row r="1" spans="2:4" x14ac:dyDescent="0.35">
      <c r="B1" s="33" t="s">
        <v>2</v>
      </c>
      <c r="C1" t="s">
        <v>356</v>
      </c>
      <c r="D1" t="s">
        <v>2</v>
      </c>
    </row>
    <row r="2" spans="2:4" x14ac:dyDescent="0.35">
      <c r="B2">
        <v>7100050</v>
      </c>
      <c r="C2" t="s">
        <v>182</v>
      </c>
      <c r="D2">
        <v>7100050</v>
      </c>
    </row>
    <row r="3" spans="2:4" x14ac:dyDescent="0.35">
      <c r="B3">
        <v>7100100</v>
      </c>
      <c r="C3" t="s">
        <v>182</v>
      </c>
      <c r="D3">
        <v>7100100</v>
      </c>
    </row>
    <row r="4" spans="2:4" x14ac:dyDescent="0.35">
      <c r="B4">
        <v>7100125</v>
      </c>
      <c r="C4" t="s">
        <v>182</v>
      </c>
      <c r="D4">
        <v>7100125</v>
      </c>
    </row>
    <row r="5" spans="2:4" x14ac:dyDescent="0.35">
      <c r="B5">
        <v>7100150</v>
      </c>
      <c r="C5" t="s">
        <v>182</v>
      </c>
      <c r="D5">
        <v>7100150</v>
      </c>
    </row>
    <row r="6" spans="2:4" x14ac:dyDescent="0.35">
      <c r="B6">
        <v>7100200</v>
      </c>
      <c r="C6" t="s">
        <v>182</v>
      </c>
      <c r="D6">
        <v>7100200</v>
      </c>
    </row>
    <row r="7" spans="2:4" x14ac:dyDescent="0.35">
      <c r="B7">
        <v>7100250</v>
      </c>
      <c r="C7" t="s">
        <v>182</v>
      </c>
      <c r="D7">
        <v>7100250</v>
      </c>
    </row>
    <row r="8" spans="2:4" x14ac:dyDescent="0.35">
      <c r="B8">
        <v>7100260</v>
      </c>
      <c r="C8" t="s">
        <v>182</v>
      </c>
      <c r="D8">
        <v>7100260</v>
      </c>
    </row>
    <row r="9" spans="2:4" x14ac:dyDescent="0.35">
      <c r="B9">
        <v>7100300</v>
      </c>
      <c r="C9" t="s">
        <v>182</v>
      </c>
      <c r="D9">
        <v>7100300</v>
      </c>
    </row>
    <row r="10" spans="2:4" x14ac:dyDescent="0.35">
      <c r="B10">
        <v>7100305</v>
      </c>
      <c r="C10" t="s">
        <v>182</v>
      </c>
      <c r="D10">
        <v>7100305</v>
      </c>
    </row>
    <row r="11" spans="2:4" x14ac:dyDescent="0.35">
      <c r="B11">
        <v>7100310</v>
      </c>
      <c r="C11" t="s">
        <v>182</v>
      </c>
      <c r="D11">
        <v>7100310</v>
      </c>
    </row>
    <row r="12" spans="2:4" x14ac:dyDescent="0.35">
      <c r="B12">
        <v>7100315</v>
      </c>
      <c r="C12" t="s">
        <v>182</v>
      </c>
      <c r="D12">
        <v>7100315</v>
      </c>
    </row>
    <row r="13" spans="2:4" x14ac:dyDescent="0.35">
      <c r="B13">
        <v>7100320</v>
      </c>
      <c r="C13" t="s">
        <v>182</v>
      </c>
      <c r="D13">
        <v>7100320</v>
      </c>
    </row>
    <row r="14" spans="2:4" x14ac:dyDescent="0.35">
      <c r="B14">
        <v>7100350</v>
      </c>
      <c r="C14" t="s">
        <v>182</v>
      </c>
      <c r="D14">
        <v>7100350</v>
      </c>
    </row>
    <row r="15" spans="2:4" x14ac:dyDescent="0.35">
      <c r="B15">
        <v>7100360</v>
      </c>
      <c r="C15" t="s">
        <v>182</v>
      </c>
      <c r="D15">
        <v>7100360</v>
      </c>
    </row>
    <row r="16" spans="2:4" x14ac:dyDescent="0.35">
      <c r="B16">
        <v>7100370</v>
      </c>
      <c r="C16" t="s">
        <v>182</v>
      </c>
      <c r="D16">
        <v>7100370</v>
      </c>
    </row>
    <row r="17" spans="2:4" x14ac:dyDescent="0.35">
      <c r="B17">
        <v>7100380</v>
      </c>
      <c r="C17" t="s">
        <v>182</v>
      </c>
      <c r="D17">
        <v>7100380</v>
      </c>
    </row>
    <row r="18" spans="2:4" x14ac:dyDescent="0.35">
      <c r="B18">
        <v>7100390</v>
      </c>
      <c r="C18" t="s">
        <v>182</v>
      </c>
      <c r="D18">
        <v>7100390</v>
      </c>
    </row>
    <row r="19" spans="2:4" x14ac:dyDescent="0.35">
      <c r="B19">
        <v>7100400</v>
      </c>
      <c r="C19" t="s">
        <v>182</v>
      </c>
      <c r="D19">
        <v>7100400</v>
      </c>
    </row>
    <row r="20" spans="2:4" x14ac:dyDescent="0.35">
      <c r="B20">
        <v>7100410</v>
      </c>
      <c r="C20" t="s">
        <v>182</v>
      </c>
      <c r="D20">
        <v>7100410</v>
      </c>
    </row>
    <row r="21" spans="2:4" x14ac:dyDescent="0.35">
      <c r="B21">
        <v>7100900</v>
      </c>
      <c r="C21" t="s">
        <v>182</v>
      </c>
      <c r="D21">
        <v>7100900</v>
      </c>
    </row>
    <row r="22" spans="2:4" x14ac:dyDescent="0.35">
      <c r="B22">
        <v>7100910</v>
      </c>
      <c r="C22" t="s">
        <v>182</v>
      </c>
      <c r="D22">
        <v>7100910</v>
      </c>
    </row>
    <row r="23" spans="2:4" x14ac:dyDescent="0.35">
      <c r="B23">
        <v>7100915</v>
      </c>
      <c r="C23" t="s">
        <v>182</v>
      </c>
      <c r="D23">
        <v>7100915</v>
      </c>
    </row>
    <row r="24" spans="2:4" x14ac:dyDescent="0.35">
      <c r="B24">
        <v>7100950</v>
      </c>
      <c r="C24" t="s">
        <v>182</v>
      </c>
      <c r="D24">
        <v>7100950</v>
      </c>
    </row>
    <row r="25" spans="2:4" x14ac:dyDescent="0.35">
      <c r="B25">
        <v>7100960</v>
      </c>
      <c r="C25" t="s">
        <v>182</v>
      </c>
      <c r="D25">
        <v>7100960</v>
      </c>
    </row>
    <row r="26" spans="2:4" x14ac:dyDescent="0.35">
      <c r="B26">
        <v>7110050</v>
      </c>
      <c r="C26" t="s">
        <v>193</v>
      </c>
      <c r="D26">
        <v>7110050</v>
      </c>
    </row>
    <row r="27" spans="2:4" x14ac:dyDescent="0.35">
      <c r="B27">
        <v>7110100</v>
      </c>
      <c r="C27" t="s">
        <v>193</v>
      </c>
      <c r="D27">
        <v>7110100</v>
      </c>
    </row>
    <row r="28" spans="2:4" x14ac:dyDescent="0.35">
      <c r="B28">
        <v>7110150</v>
      </c>
      <c r="C28" t="s">
        <v>193</v>
      </c>
      <c r="D28">
        <v>7110150</v>
      </c>
    </row>
    <row r="29" spans="2:4" x14ac:dyDescent="0.35">
      <c r="B29">
        <v>7110160</v>
      </c>
      <c r="C29" t="s">
        <v>193</v>
      </c>
      <c r="D29">
        <v>7110160</v>
      </c>
    </row>
    <row r="30" spans="2:4" x14ac:dyDescent="0.35">
      <c r="B30">
        <v>7110165</v>
      </c>
      <c r="C30" t="s">
        <v>193</v>
      </c>
      <c r="D30">
        <v>7110165</v>
      </c>
    </row>
    <row r="31" spans="2:4" x14ac:dyDescent="0.35">
      <c r="B31">
        <v>7110200</v>
      </c>
      <c r="C31" t="s">
        <v>193</v>
      </c>
      <c r="D31">
        <v>7110200</v>
      </c>
    </row>
    <row r="32" spans="2:4" x14ac:dyDescent="0.35">
      <c r="B32">
        <v>7110210</v>
      </c>
      <c r="C32" t="s">
        <v>193</v>
      </c>
      <c r="D32">
        <v>7110210</v>
      </c>
    </row>
    <row r="33" spans="2:4" x14ac:dyDescent="0.35">
      <c r="B33">
        <v>7110220</v>
      </c>
      <c r="C33" t="s">
        <v>193</v>
      </c>
      <c r="D33">
        <v>7110220</v>
      </c>
    </row>
    <row r="34" spans="2:4" x14ac:dyDescent="0.35">
      <c r="B34">
        <v>7110230</v>
      </c>
      <c r="C34" t="s">
        <v>193</v>
      </c>
      <c r="D34">
        <v>7110230</v>
      </c>
    </row>
    <row r="35" spans="2:4" x14ac:dyDescent="0.35">
      <c r="B35">
        <v>7110240</v>
      </c>
      <c r="C35" t="s">
        <v>193</v>
      </c>
      <c r="D35">
        <v>7110240</v>
      </c>
    </row>
    <row r="36" spans="2:4" x14ac:dyDescent="0.35">
      <c r="B36">
        <v>7110250</v>
      </c>
      <c r="C36" t="s">
        <v>193</v>
      </c>
      <c r="D36">
        <v>7110250</v>
      </c>
    </row>
    <row r="37" spans="2:4" x14ac:dyDescent="0.35">
      <c r="B37">
        <v>7110300</v>
      </c>
      <c r="C37" t="s">
        <v>193</v>
      </c>
      <c r="D37">
        <v>7110300</v>
      </c>
    </row>
    <row r="38" spans="2:4" x14ac:dyDescent="0.35">
      <c r="B38">
        <v>7110350</v>
      </c>
      <c r="C38" t="s">
        <v>193</v>
      </c>
      <c r="D38">
        <v>7110350</v>
      </c>
    </row>
    <row r="39" spans="2:4" x14ac:dyDescent="0.35">
      <c r="B39">
        <v>7110400</v>
      </c>
      <c r="C39" t="s">
        <v>193</v>
      </c>
      <c r="D39">
        <v>7110400</v>
      </c>
    </row>
    <row r="40" spans="2:4" x14ac:dyDescent="0.35">
      <c r="B40">
        <v>7110450</v>
      </c>
      <c r="C40" t="s">
        <v>193</v>
      </c>
      <c r="D40">
        <v>7110450</v>
      </c>
    </row>
    <row r="41" spans="2:4" x14ac:dyDescent="0.35">
      <c r="B41">
        <v>7110460</v>
      </c>
      <c r="C41" t="s">
        <v>193</v>
      </c>
      <c r="D41">
        <v>7110460</v>
      </c>
    </row>
    <row r="42" spans="2:4" x14ac:dyDescent="0.35">
      <c r="B42">
        <v>7110470</v>
      </c>
      <c r="C42" t="s">
        <v>193</v>
      </c>
      <c r="D42">
        <v>7110470</v>
      </c>
    </row>
    <row r="43" spans="2:4" x14ac:dyDescent="0.35">
      <c r="B43">
        <v>7110500</v>
      </c>
      <c r="C43" t="s">
        <v>193</v>
      </c>
      <c r="D43">
        <v>7110500</v>
      </c>
    </row>
    <row r="44" spans="2:4" x14ac:dyDescent="0.35">
      <c r="B44">
        <v>7110510</v>
      </c>
      <c r="C44" t="s">
        <v>193</v>
      </c>
      <c r="D44">
        <v>7110510</v>
      </c>
    </row>
    <row r="45" spans="2:4" x14ac:dyDescent="0.35">
      <c r="B45">
        <v>7110520</v>
      </c>
      <c r="C45" t="s">
        <v>193</v>
      </c>
      <c r="D45">
        <v>7110520</v>
      </c>
    </row>
    <row r="46" spans="2:4" x14ac:dyDescent="0.35">
      <c r="B46">
        <v>7110530</v>
      </c>
      <c r="C46" t="s">
        <v>193</v>
      </c>
      <c r="D46">
        <v>7110530</v>
      </c>
    </row>
    <row r="47" spans="2:4" x14ac:dyDescent="0.35">
      <c r="B47">
        <v>7110550</v>
      </c>
      <c r="C47" t="s">
        <v>193</v>
      </c>
      <c r="D47">
        <v>7110550</v>
      </c>
    </row>
    <row r="48" spans="2:4" x14ac:dyDescent="0.35">
      <c r="B48">
        <v>7110560</v>
      </c>
      <c r="C48" t="s">
        <v>193</v>
      </c>
      <c r="D48">
        <v>7110560</v>
      </c>
    </row>
    <row r="49" spans="2:4" x14ac:dyDescent="0.35">
      <c r="B49">
        <v>7110570</v>
      </c>
      <c r="C49" t="s">
        <v>193</v>
      </c>
      <c r="D49">
        <v>7110570</v>
      </c>
    </row>
    <row r="50" spans="2:4" x14ac:dyDescent="0.35">
      <c r="B50">
        <v>7110580</v>
      </c>
      <c r="C50" t="s">
        <v>193</v>
      </c>
      <c r="D50">
        <v>7110580</v>
      </c>
    </row>
    <row r="51" spans="2:4" x14ac:dyDescent="0.35">
      <c r="B51">
        <v>7110590</v>
      </c>
      <c r="C51" t="s">
        <v>193</v>
      </c>
      <c r="D51">
        <v>7110590</v>
      </c>
    </row>
    <row r="52" spans="2:4" x14ac:dyDescent="0.35">
      <c r="B52">
        <v>7110600</v>
      </c>
      <c r="C52" t="s">
        <v>193</v>
      </c>
      <c r="D52">
        <v>7110600</v>
      </c>
    </row>
    <row r="53" spans="2:4" x14ac:dyDescent="0.35">
      <c r="B53">
        <v>7110610</v>
      </c>
      <c r="C53" t="s">
        <v>193</v>
      </c>
      <c r="D53">
        <v>7110610</v>
      </c>
    </row>
    <row r="54" spans="2:4" x14ac:dyDescent="0.35">
      <c r="B54">
        <v>7110620</v>
      </c>
      <c r="C54" t="s">
        <v>193</v>
      </c>
      <c r="D54">
        <v>7110620</v>
      </c>
    </row>
    <row r="55" spans="2:4" x14ac:dyDescent="0.35">
      <c r="B55">
        <v>7110630</v>
      </c>
      <c r="C55" t="s">
        <v>193</v>
      </c>
      <c r="D55">
        <v>7110630</v>
      </c>
    </row>
    <row r="56" spans="2:4" x14ac:dyDescent="0.35">
      <c r="B56">
        <v>7110640</v>
      </c>
      <c r="C56" t="s">
        <v>193</v>
      </c>
      <c r="D56">
        <v>7110640</v>
      </c>
    </row>
    <row r="57" spans="2:4" x14ac:dyDescent="0.35">
      <c r="B57">
        <v>7110650</v>
      </c>
      <c r="C57" t="s">
        <v>193</v>
      </c>
      <c r="D57">
        <v>7110650</v>
      </c>
    </row>
    <row r="58" spans="2:4" x14ac:dyDescent="0.35">
      <c r="B58">
        <v>7110660</v>
      </c>
      <c r="C58" t="s">
        <v>193</v>
      </c>
      <c r="D58">
        <v>7110660</v>
      </c>
    </row>
    <row r="59" spans="2:4" x14ac:dyDescent="0.35">
      <c r="B59">
        <v>7110800</v>
      </c>
      <c r="C59" t="s">
        <v>193</v>
      </c>
      <c r="D59">
        <v>7110800</v>
      </c>
    </row>
    <row r="60" spans="2:4" x14ac:dyDescent="0.35">
      <c r="B60">
        <v>7110850</v>
      </c>
      <c r="C60" t="s">
        <v>193</v>
      </c>
      <c r="D60">
        <v>7110850</v>
      </c>
    </row>
    <row r="61" spans="2:4" x14ac:dyDescent="0.35">
      <c r="B61">
        <v>7110900</v>
      </c>
      <c r="C61" t="s">
        <v>193</v>
      </c>
      <c r="D61">
        <v>7110900</v>
      </c>
    </row>
    <row r="62" spans="2:4" x14ac:dyDescent="0.35">
      <c r="B62">
        <v>7110950</v>
      </c>
      <c r="C62" t="s">
        <v>193</v>
      </c>
      <c r="D62">
        <v>7110950</v>
      </c>
    </row>
    <row r="63" spans="2:4" x14ac:dyDescent="0.35">
      <c r="B63">
        <v>7120050</v>
      </c>
      <c r="C63" t="s">
        <v>191</v>
      </c>
      <c r="D63">
        <v>7120050</v>
      </c>
    </row>
    <row r="64" spans="2:4" x14ac:dyDescent="0.35">
      <c r="B64">
        <v>7120100</v>
      </c>
      <c r="C64" t="s">
        <v>191</v>
      </c>
      <c r="D64">
        <v>7120100</v>
      </c>
    </row>
    <row r="65" spans="2:4" x14ac:dyDescent="0.35">
      <c r="B65">
        <v>7120150</v>
      </c>
      <c r="C65" t="s">
        <v>191</v>
      </c>
      <c r="D65">
        <v>7120150</v>
      </c>
    </row>
    <row r="66" spans="2:4" x14ac:dyDescent="0.35">
      <c r="B66">
        <v>7120200</v>
      </c>
      <c r="C66" t="s">
        <v>191</v>
      </c>
      <c r="D66">
        <v>7120200</v>
      </c>
    </row>
    <row r="67" spans="2:4" x14ac:dyDescent="0.35">
      <c r="B67">
        <v>7120210</v>
      </c>
      <c r="C67" t="s">
        <v>191</v>
      </c>
      <c r="D67">
        <v>7120210</v>
      </c>
    </row>
    <row r="68" spans="2:4" x14ac:dyDescent="0.35">
      <c r="B68">
        <v>7120250</v>
      </c>
      <c r="C68" t="s">
        <v>191</v>
      </c>
      <c r="D68">
        <v>7120250</v>
      </c>
    </row>
    <row r="69" spans="2:4" x14ac:dyDescent="0.35">
      <c r="B69">
        <v>7120300</v>
      </c>
      <c r="C69" t="s">
        <v>191</v>
      </c>
      <c r="D69">
        <v>7120300</v>
      </c>
    </row>
    <row r="70" spans="2:4" x14ac:dyDescent="0.35">
      <c r="B70">
        <v>7120350</v>
      </c>
      <c r="C70" t="s">
        <v>191</v>
      </c>
      <c r="D70">
        <v>7120350</v>
      </c>
    </row>
    <row r="71" spans="2:4" x14ac:dyDescent="0.35">
      <c r="B71">
        <v>7120400</v>
      </c>
      <c r="C71" t="s">
        <v>191</v>
      </c>
      <c r="D71">
        <v>7120400</v>
      </c>
    </row>
    <row r="72" spans="2:4" x14ac:dyDescent="0.35">
      <c r="B72">
        <v>7120450</v>
      </c>
      <c r="C72" t="s">
        <v>191</v>
      </c>
      <c r="D72">
        <v>7120450</v>
      </c>
    </row>
    <row r="73" spans="2:4" x14ac:dyDescent="0.35">
      <c r="B73">
        <v>7120500</v>
      </c>
      <c r="C73" t="s">
        <v>191</v>
      </c>
      <c r="D73">
        <v>7120500</v>
      </c>
    </row>
    <row r="74" spans="2:4" x14ac:dyDescent="0.35">
      <c r="B74">
        <v>7120510</v>
      </c>
      <c r="C74" t="s">
        <v>191</v>
      </c>
      <c r="D74">
        <v>7120510</v>
      </c>
    </row>
    <row r="75" spans="2:4" x14ac:dyDescent="0.35">
      <c r="B75">
        <v>7120530</v>
      </c>
      <c r="C75" t="s">
        <v>191</v>
      </c>
      <c r="D75">
        <v>7120530</v>
      </c>
    </row>
    <row r="76" spans="2:4" x14ac:dyDescent="0.35">
      <c r="B76">
        <v>7120540</v>
      </c>
      <c r="C76" t="s">
        <v>191</v>
      </c>
      <c r="D76">
        <v>7120540</v>
      </c>
    </row>
    <row r="77" spans="2:4" x14ac:dyDescent="0.35">
      <c r="B77">
        <v>7120550</v>
      </c>
      <c r="C77" t="s">
        <v>191</v>
      </c>
      <c r="D77">
        <v>7120550</v>
      </c>
    </row>
    <row r="78" spans="2:4" x14ac:dyDescent="0.35">
      <c r="B78">
        <v>7120560</v>
      </c>
      <c r="C78" t="s">
        <v>191</v>
      </c>
      <c r="D78">
        <v>7120560</v>
      </c>
    </row>
    <row r="79" spans="2:4" x14ac:dyDescent="0.35">
      <c r="B79">
        <v>7120570</v>
      </c>
      <c r="C79" t="s">
        <v>191</v>
      </c>
      <c r="D79">
        <v>7120570</v>
      </c>
    </row>
    <row r="80" spans="2:4" x14ac:dyDescent="0.35">
      <c r="B80">
        <v>7120580</v>
      </c>
      <c r="C80" t="s">
        <v>191</v>
      </c>
      <c r="D80">
        <v>7120580</v>
      </c>
    </row>
    <row r="81" spans="2:4" x14ac:dyDescent="0.35">
      <c r="B81">
        <v>7120590</v>
      </c>
      <c r="C81" t="s">
        <v>191</v>
      </c>
      <c r="D81">
        <v>7120590</v>
      </c>
    </row>
    <row r="82" spans="2:4" x14ac:dyDescent="0.35">
      <c r="B82">
        <v>7120600</v>
      </c>
      <c r="C82" t="s">
        <v>191</v>
      </c>
      <c r="D82">
        <v>7120600</v>
      </c>
    </row>
    <row r="83" spans="2:4" x14ac:dyDescent="0.35">
      <c r="B83">
        <v>7120605</v>
      </c>
      <c r="C83" t="s">
        <v>191</v>
      </c>
      <c r="D83">
        <v>7120605</v>
      </c>
    </row>
    <row r="84" spans="2:4" x14ac:dyDescent="0.35">
      <c r="B84">
        <v>7120650</v>
      </c>
      <c r="C84" t="s">
        <v>191</v>
      </c>
      <c r="D84">
        <v>7120650</v>
      </c>
    </row>
    <row r="85" spans="2:4" x14ac:dyDescent="0.35">
      <c r="B85">
        <v>7120700</v>
      </c>
      <c r="C85" t="s">
        <v>191</v>
      </c>
      <c r="D85">
        <v>7120700</v>
      </c>
    </row>
    <row r="86" spans="2:4" x14ac:dyDescent="0.35">
      <c r="B86">
        <v>7120750</v>
      </c>
      <c r="C86" t="s">
        <v>191</v>
      </c>
      <c r="D86">
        <v>7120750</v>
      </c>
    </row>
    <row r="87" spans="2:4" x14ac:dyDescent="0.35">
      <c r="B87">
        <v>7120800</v>
      </c>
      <c r="C87" t="s">
        <v>191</v>
      </c>
      <c r="D87">
        <v>7120800</v>
      </c>
    </row>
    <row r="88" spans="2:4" x14ac:dyDescent="0.35">
      <c r="B88">
        <v>7120900</v>
      </c>
      <c r="C88" t="s">
        <v>191</v>
      </c>
      <c r="D88">
        <v>7120900</v>
      </c>
    </row>
    <row r="89" spans="2:4" x14ac:dyDescent="0.35">
      <c r="B89">
        <v>7120960</v>
      </c>
      <c r="C89" t="s">
        <v>191</v>
      </c>
      <c r="D89">
        <v>7120960</v>
      </c>
    </row>
    <row r="90" spans="2:4" x14ac:dyDescent="0.35">
      <c r="B90">
        <v>7130050</v>
      </c>
      <c r="C90" t="s">
        <v>183</v>
      </c>
      <c r="D90">
        <v>7130050</v>
      </c>
    </row>
    <row r="91" spans="2:4" x14ac:dyDescent="0.35">
      <c r="B91">
        <v>7130060</v>
      </c>
      <c r="C91" t="s">
        <v>183</v>
      </c>
      <c r="D91">
        <v>7130060</v>
      </c>
    </row>
    <row r="92" spans="2:4" x14ac:dyDescent="0.35">
      <c r="B92">
        <v>7130100</v>
      </c>
      <c r="C92" t="s">
        <v>183</v>
      </c>
      <c r="D92">
        <v>7130100</v>
      </c>
    </row>
    <row r="93" spans="2:4" x14ac:dyDescent="0.35">
      <c r="B93">
        <v>7130150</v>
      </c>
      <c r="C93" t="s">
        <v>183</v>
      </c>
      <c r="D93">
        <v>7130150</v>
      </c>
    </row>
    <row r="94" spans="2:4" x14ac:dyDescent="0.35">
      <c r="B94">
        <v>7130160</v>
      </c>
      <c r="C94" t="s">
        <v>183</v>
      </c>
      <c r="D94">
        <v>7130160</v>
      </c>
    </row>
    <row r="95" spans="2:4" x14ac:dyDescent="0.35">
      <c r="B95">
        <v>7130170</v>
      </c>
      <c r="C95" t="s">
        <v>183</v>
      </c>
      <c r="D95">
        <v>7130170</v>
      </c>
    </row>
    <row r="96" spans="2:4" x14ac:dyDescent="0.35">
      <c r="B96">
        <v>7130180</v>
      </c>
      <c r="C96" t="s">
        <v>183</v>
      </c>
      <c r="D96">
        <v>7130180</v>
      </c>
    </row>
    <row r="97" spans="2:4" x14ac:dyDescent="0.35">
      <c r="B97">
        <v>7130200</v>
      </c>
      <c r="C97" t="s">
        <v>183</v>
      </c>
      <c r="D97">
        <v>7130200</v>
      </c>
    </row>
    <row r="98" spans="2:4" x14ac:dyDescent="0.35">
      <c r="B98">
        <v>7130300</v>
      </c>
      <c r="C98" t="s">
        <v>183</v>
      </c>
      <c r="D98">
        <v>7130300</v>
      </c>
    </row>
    <row r="99" spans="2:4" x14ac:dyDescent="0.35">
      <c r="B99">
        <v>7130305</v>
      </c>
      <c r="C99" t="s">
        <v>183</v>
      </c>
      <c r="D99">
        <v>7130305</v>
      </c>
    </row>
    <row r="100" spans="2:4" x14ac:dyDescent="0.35">
      <c r="B100">
        <v>7130310</v>
      </c>
      <c r="C100" t="s">
        <v>183</v>
      </c>
      <c r="D100">
        <v>7130310</v>
      </c>
    </row>
    <row r="101" spans="2:4" x14ac:dyDescent="0.35">
      <c r="B101">
        <v>7130320</v>
      </c>
      <c r="C101" t="s">
        <v>183</v>
      </c>
      <c r="D101">
        <v>7130320</v>
      </c>
    </row>
    <row r="102" spans="2:4" x14ac:dyDescent="0.35">
      <c r="B102">
        <v>7130520</v>
      </c>
      <c r="C102" t="s">
        <v>183</v>
      </c>
      <c r="D102">
        <v>7130520</v>
      </c>
    </row>
    <row r="103" spans="2:4" x14ac:dyDescent="0.35">
      <c r="B103">
        <v>7140050</v>
      </c>
      <c r="C103" t="s">
        <v>185</v>
      </c>
      <c r="D103">
        <v>7140050</v>
      </c>
    </row>
    <row r="104" spans="2:4" x14ac:dyDescent="0.35">
      <c r="B104">
        <v>7140100</v>
      </c>
      <c r="C104" t="s">
        <v>185</v>
      </c>
      <c r="D104">
        <v>7140100</v>
      </c>
    </row>
    <row r="105" spans="2:4" x14ac:dyDescent="0.35">
      <c r="B105">
        <v>7140150</v>
      </c>
      <c r="C105" t="s">
        <v>185</v>
      </c>
      <c r="D105">
        <v>7140150</v>
      </c>
    </row>
    <row r="106" spans="2:4" x14ac:dyDescent="0.35">
      <c r="B106">
        <v>7140160</v>
      </c>
      <c r="C106" t="s">
        <v>185</v>
      </c>
      <c r="D106">
        <v>7140160</v>
      </c>
    </row>
    <row r="107" spans="2:4" x14ac:dyDescent="0.35">
      <c r="B107">
        <v>7140170</v>
      </c>
      <c r="C107" t="s">
        <v>185</v>
      </c>
      <c r="D107">
        <v>7140170</v>
      </c>
    </row>
    <row r="108" spans="2:4" x14ac:dyDescent="0.35">
      <c r="B108">
        <v>7140180</v>
      </c>
      <c r="C108" t="s">
        <v>185</v>
      </c>
      <c r="D108">
        <v>7140180</v>
      </c>
    </row>
    <row r="109" spans="2:4" x14ac:dyDescent="0.35">
      <c r="B109">
        <v>7140190</v>
      </c>
      <c r="C109" t="s">
        <v>185</v>
      </c>
      <c r="D109">
        <v>7140190</v>
      </c>
    </row>
    <row r="110" spans="2:4" x14ac:dyDescent="0.35">
      <c r="B110">
        <v>7220050</v>
      </c>
      <c r="C110" t="s">
        <v>195</v>
      </c>
      <c r="D110">
        <v>7220050</v>
      </c>
    </row>
    <row r="111" spans="2:4" x14ac:dyDescent="0.35">
      <c r="B111">
        <v>7220051</v>
      </c>
      <c r="C111" t="s">
        <v>195</v>
      </c>
      <c r="D111">
        <v>7220051</v>
      </c>
    </row>
    <row r="112" spans="2:4" x14ac:dyDescent="0.35">
      <c r="B112">
        <v>7220052</v>
      </c>
      <c r="C112" t="s">
        <v>195</v>
      </c>
      <c r="D112">
        <v>7220052</v>
      </c>
    </row>
    <row r="113" spans="2:4" x14ac:dyDescent="0.35">
      <c r="B113">
        <v>7220060</v>
      </c>
      <c r="C113" t="s">
        <v>195</v>
      </c>
      <c r="D113">
        <v>7220060</v>
      </c>
    </row>
    <row r="114" spans="2:4" x14ac:dyDescent="0.35">
      <c r="B114">
        <v>7220070</v>
      </c>
      <c r="C114" t="s">
        <v>195</v>
      </c>
      <c r="D114">
        <v>7220070</v>
      </c>
    </row>
    <row r="115" spans="2:4" x14ac:dyDescent="0.35">
      <c r="B115">
        <v>7220075</v>
      </c>
      <c r="C115" t="s">
        <v>195</v>
      </c>
      <c r="D115">
        <v>7220075</v>
      </c>
    </row>
    <row r="116" spans="2:4" x14ac:dyDescent="0.35">
      <c r="B116">
        <v>7220080</v>
      </c>
      <c r="C116" t="s">
        <v>195</v>
      </c>
      <c r="D116">
        <v>7220080</v>
      </c>
    </row>
    <row r="117" spans="2:4" x14ac:dyDescent="0.35">
      <c r="B117">
        <v>7220100</v>
      </c>
      <c r="C117" t="s">
        <v>195</v>
      </c>
      <c r="D117">
        <v>7220100</v>
      </c>
    </row>
    <row r="118" spans="2:4" x14ac:dyDescent="0.35">
      <c r="B118">
        <v>7220150</v>
      </c>
      <c r="C118" t="s">
        <v>195</v>
      </c>
      <c r="D118">
        <v>7220150</v>
      </c>
    </row>
    <row r="119" spans="2:4" x14ac:dyDescent="0.35">
      <c r="B119">
        <v>7220170</v>
      </c>
      <c r="C119" t="s">
        <v>195</v>
      </c>
      <c r="D119">
        <v>7220170</v>
      </c>
    </row>
    <row r="120" spans="2:4" x14ac:dyDescent="0.35">
      <c r="B120">
        <v>7220175</v>
      </c>
      <c r="C120" t="s">
        <v>195</v>
      </c>
      <c r="D120">
        <v>7220175</v>
      </c>
    </row>
    <row r="121" spans="2:4" x14ac:dyDescent="0.35">
      <c r="B121">
        <v>7220180</v>
      </c>
      <c r="C121" t="s">
        <v>195</v>
      </c>
      <c r="D121">
        <v>7220180</v>
      </c>
    </row>
    <row r="122" spans="2:4" x14ac:dyDescent="0.35">
      <c r="B122">
        <v>7220250</v>
      </c>
      <c r="C122" t="s">
        <v>195</v>
      </c>
      <c r="D122">
        <v>7220250</v>
      </c>
    </row>
    <row r="123" spans="2:4" x14ac:dyDescent="0.35">
      <c r="B123">
        <v>7220300</v>
      </c>
      <c r="C123" t="s">
        <v>195</v>
      </c>
      <c r="D123">
        <v>7220300</v>
      </c>
    </row>
    <row r="124" spans="2:4" x14ac:dyDescent="0.35">
      <c r="B124">
        <v>7220350</v>
      </c>
      <c r="C124" t="s">
        <v>195</v>
      </c>
      <c r="D124">
        <v>7220350</v>
      </c>
    </row>
    <row r="125" spans="2:4" x14ac:dyDescent="0.35">
      <c r="B125">
        <v>7220400</v>
      </c>
      <c r="C125" t="s">
        <v>195</v>
      </c>
      <c r="D125">
        <v>7220400</v>
      </c>
    </row>
    <row r="126" spans="2:4" x14ac:dyDescent="0.35">
      <c r="B126">
        <v>7220500</v>
      </c>
      <c r="C126" t="s">
        <v>195</v>
      </c>
      <c r="D126">
        <v>7220500</v>
      </c>
    </row>
    <row r="127" spans="2:4" x14ac:dyDescent="0.35">
      <c r="B127">
        <v>7220550</v>
      </c>
      <c r="C127" t="s">
        <v>195</v>
      </c>
      <c r="D127">
        <v>7220550</v>
      </c>
    </row>
    <row r="128" spans="2:4" x14ac:dyDescent="0.35">
      <c r="B128">
        <v>7220610</v>
      </c>
      <c r="C128" t="s">
        <v>195</v>
      </c>
      <c r="D128">
        <v>7220610</v>
      </c>
    </row>
    <row r="129" spans="2:4" x14ac:dyDescent="0.35">
      <c r="B129">
        <v>7220620</v>
      </c>
      <c r="C129" t="s">
        <v>195</v>
      </c>
      <c r="D129">
        <v>7220620</v>
      </c>
    </row>
    <row r="130" spans="2:4" x14ac:dyDescent="0.35">
      <c r="B130">
        <v>7220800</v>
      </c>
      <c r="C130" t="s">
        <v>195</v>
      </c>
      <c r="D130">
        <v>7220800</v>
      </c>
    </row>
    <row r="131" spans="2:4" x14ac:dyDescent="0.35">
      <c r="B131">
        <v>7220900</v>
      </c>
      <c r="C131" t="s">
        <v>195</v>
      </c>
      <c r="D131">
        <v>7220900</v>
      </c>
    </row>
    <row r="132" spans="2:4" x14ac:dyDescent="0.35">
      <c r="B132">
        <v>7220960</v>
      </c>
      <c r="C132" t="s">
        <v>195</v>
      </c>
      <c r="D132">
        <v>7220960</v>
      </c>
    </row>
    <row r="133" spans="2:4" x14ac:dyDescent="0.35">
      <c r="B133">
        <v>7200050</v>
      </c>
      <c r="C133" t="s">
        <v>357</v>
      </c>
      <c r="D133">
        <v>7200050</v>
      </c>
    </row>
    <row r="134" spans="2:4" x14ac:dyDescent="0.35">
      <c r="B134">
        <v>7200200</v>
      </c>
      <c r="C134" t="s">
        <v>357</v>
      </c>
      <c r="D134">
        <v>7200200</v>
      </c>
    </row>
    <row r="135" spans="2:4" x14ac:dyDescent="0.35">
      <c r="B135" s="33" t="s">
        <v>148</v>
      </c>
      <c r="C135" t="s">
        <v>357</v>
      </c>
      <c r="D135" t="s">
        <v>148</v>
      </c>
    </row>
    <row r="136" spans="2:4" x14ac:dyDescent="0.35">
      <c r="B136">
        <v>7210100</v>
      </c>
      <c r="C136" t="s">
        <v>190</v>
      </c>
      <c r="D136">
        <v>7210100</v>
      </c>
    </row>
    <row r="137" spans="2:4" x14ac:dyDescent="0.35">
      <c r="B137">
        <v>7210110</v>
      </c>
      <c r="C137" t="s">
        <v>190</v>
      </c>
      <c r="D137">
        <v>7210110</v>
      </c>
    </row>
    <row r="138" spans="2:4" x14ac:dyDescent="0.35">
      <c r="B138">
        <v>7210111</v>
      </c>
      <c r="C138" t="s">
        <v>190</v>
      </c>
      <c r="D138">
        <v>7210111</v>
      </c>
    </row>
    <row r="139" spans="2:4" x14ac:dyDescent="0.35">
      <c r="B139">
        <v>7210112</v>
      </c>
      <c r="C139" t="s">
        <v>190</v>
      </c>
      <c r="D139">
        <v>7210112</v>
      </c>
    </row>
    <row r="140" spans="2:4" x14ac:dyDescent="0.35">
      <c r="B140">
        <v>7210113</v>
      </c>
      <c r="C140" t="s">
        <v>190</v>
      </c>
      <c r="D140">
        <v>7210113</v>
      </c>
    </row>
    <row r="141" spans="2:4" x14ac:dyDescent="0.35">
      <c r="B141">
        <v>7210114</v>
      </c>
      <c r="C141" t="s">
        <v>190</v>
      </c>
      <c r="D141">
        <v>7210114</v>
      </c>
    </row>
    <row r="142" spans="2:4" x14ac:dyDescent="0.35">
      <c r="B142">
        <v>7210115</v>
      </c>
      <c r="C142" t="s">
        <v>190</v>
      </c>
      <c r="D142">
        <v>7210115</v>
      </c>
    </row>
    <row r="143" spans="2:4" x14ac:dyDescent="0.35">
      <c r="B143">
        <v>7210116</v>
      </c>
      <c r="C143" t="s">
        <v>190</v>
      </c>
      <c r="D143">
        <v>7210116</v>
      </c>
    </row>
    <row r="144" spans="2:4" x14ac:dyDescent="0.35">
      <c r="B144">
        <v>7210117</v>
      </c>
      <c r="C144" t="s">
        <v>190</v>
      </c>
      <c r="D144">
        <v>7210117</v>
      </c>
    </row>
    <row r="145" spans="2:4" x14ac:dyDescent="0.35">
      <c r="B145">
        <v>7210118</v>
      </c>
      <c r="C145" t="s">
        <v>190</v>
      </c>
      <c r="D145">
        <v>7210118</v>
      </c>
    </row>
    <row r="146" spans="2:4" x14ac:dyDescent="0.35">
      <c r="B146">
        <v>7210119</v>
      </c>
      <c r="C146" t="s">
        <v>190</v>
      </c>
      <c r="D146">
        <v>7210119</v>
      </c>
    </row>
    <row r="147" spans="2:4" x14ac:dyDescent="0.35">
      <c r="B147">
        <v>7210200</v>
      </c>
      <c r="C147" t="s">
        <v>190</v>
      </c>
      <c r="D147">
        <v>7210200</v>
      </c>
    </row>
    <row r="148" spans="2:4" x14ac:dyDescent="0.35">
      <c r="B148">
        <v>7210250</v>
      </c>
      <c r="C148" t="s">
        <v>190</v>
      </c>
      <c r="D148">
        <v>7210250</v>
      </c>
    </row>
    <row r="149" spans="2:4" x14ac:dyDescent="0.35">
      <c r="B149">
        <v>7210270</v>
      </c>
      <c r="C149" t="s">
        <v>190</v>
      </c>
      <c r="D149">
        <v>7210270</v>
      </c>
    </row>
    <row r="150" spans="2:4" x14ac:dyDescent="0.35">
      <c r="B150">
        <v>7210410</v>
      </c>
      <c r="C150" t="s">
        <v>190</v>
      </c>
      <c r="D150">
        <v>7210410</v>
      </c>
    </row>
    <row r="151" spans="2:4" x14ac:dyDescent="0.35">
      <c r="B151">
        <v>7210420</v>
      </c>
      <c r="C151" t="s">
        <v>190</v>
      </c>
      <c r="D151">
        <v>7210420</v>
      </c>
    </row>
    <row r="152" spans="2:4" x14ac:dyDescent="0.35">
      <c r="B152">
        <v>7210430</v>
      </c>
      <c r="C152" t="s">
        <v>190</v>
      </c>
      <c r="D152">
        <v>7210430</v>
      </c>
    </row>
    <row r="153" spans="2:4" x14ac:dyDescent="0.35">
      <c r="B153">
        <v>7210490</v>
      </c>
      <c r="C153" t="s">
        <v>190</v>
      </c>
      <c r="D153">
        <v>7210490</v>
      </c>
    </row>
    <row r="154" spans="2:4" x14ac:dyDescent="0.35">
      <c r="B154">
        <v>7210500</v>
      </c>
      <c r="C154" t="s">
        <v>190</v>
      </c>
      <c r="D154">
        <v>7210500</v>
      </c>
    </row>
    <row r="155" spans="2:4" x14ac:dyDescent="0.35">
      <c r="B155">
        <v>7210510</v>
      </c>
      <c r="C155" t="s">
        <v>190</v>
      </c>
      <c r="D155">
        <v>7210510</v>
      </c>
    </row>
    <row r="156" spans="2:4" x14ac:dyDescent="0.35">
      <c r="B156">
        <v>7210520</v>
      </c>
      <c r="C156" t="s">
        <v>190</v>
      </c>
      <c r="D156">
        <v>7210520</v>
      </c>
    </row>
    <row r="157" spans="2:4" x14ac:dyDescent="0.35">
      <c r="B157">
        <v>7210530</v>
      </c>
      <c r="C157" t="s">
        <v>190</v>
      </c>
      <c r="D157">
        <v>7210530</v>
      </c>
    </row>
    <row r="158" spans="2:4" x14ac:dyDescent="0.35">
      <c r="B158">
        <v>7210600</v>
      </c>
      <c r="C158" t="s">
        <v>190</v>
      </c>
      <c r="D158">
        <v>7210600</v>
      </c>
    </row>
    <row r="159" spans="2:4" x14ac:dyDescent="0.35">
      <c r="B159">
        <v>7230050</v>
      </c>
      <c r="C159" t="s">
        <v>196</v>
      </c>
      <c r="D159">
        <v>7230050</v>
      </c>
    </row>
    <row r="160" spans="2:4" x14ac:dyDescent="0.35">
      <c r="B160">
        <v>7230060</v>
      </c>
      <c r="C160" t="s">
        <v>196</v>
      </c>
      <c r="D160">
        <v>7230060</v>
      </c>
    </row>
    <row r="161" spans="2:4" x14ac:dyDescent="0.35">
      <c r="B161">
        <v>7230100</v>
      </c>
      <c r="C161" t="s">
        <v>196</v>
      </c>
      <c r="D161">
        <v>7230100</v>
      </c>
    </row>
    <row r="162" spans="2:4" x14ac:dyDescent="0.35">
      <c r="B162">
        <v>7230150</v>
      </c>
      <c r="C162" t="s">
        <v>196</v>
      </c>
      <c r="D162">
        <v>7230150</v>
      </c>
    </row>
    <row r="163" spans="2:4" x14ac:dyDescent="0.35">
      <c r="B163">
        <v>7230200</v>
      </c>
      <c r="C163" t="s">
        <v>196</v>
      </c>
      <c r="D163">
        <v>7230200</v>
      </c>
    </row>
    <row r="164" spans="2:4" x14ac:dyDescent="0.35">
      <c r="B164">
        <v>7230250</v>
      </c>
      <c r="C164" t="s">
        <v>196</v>
      </c>
      <c r="D164">
        <v>7230250</v>
      </c>
    </row>
    <row r="165" spans="2:4" x14ac:dyDescent="0.35">
      <c r="B165">
        <v>7230300</v>
      </c>
      <c r="C165" t="s">
        <v>196</v>
      </c>
      <c r="D165">
        <v>7230300</v>
      </c>
    </row>
    <row r="166" spans="2:4" x14ac:dyDescent="0.35">
      <c r="B166">
        <v>7230350</v>
      </c>
      <c r="C166" t="s">
        <v>196</v>
      </c>
      <c r="D166">
        <v>7230350</v>
      </c>
    </row>
    <row r="167" spans="2:4" x14ac:dyDescent="0.35">
      <c r="B167">
        <v>7230400</v>
      </c>
      <c r="C167" t="s">
        <v>196</v>
      </c>
      <c r="D167">
        <v>7230400</v>
      </c>
    </row>
    <row r="168" spans="2:4" x14ac:dyDescent="0.35">
      <c r="B168">
        <v>7230500</v>
      </c>
      <c r="C168" t="s">
        <v>196</v>
      </c>
      <c r="D168">
        <v>7230500</v>
      </c>
    </row>
    <row r="169" spans="2:4" x14ac:dyDescent="0.35">
      <c r="B169">
        <v>7230510</v>
      </c>
      <c r="C169" t="s">
        <v>196</v>
      </c>
      <c r="D169">
        <v>7230510</v>
      </c>
    </row>
    <row r="170" spans="2:4" x14ac:dyDescent="0.35">
      <c r="B170">
        <v>7230520</v>
      </c>
      <c r="C170" t="s">
        <v>196</v>
      </c>
      <c r="D170">
        <v>7230520</v>
      </c>
    </row>
    <row r="171" spans="2:4" x14ac:dyDescent="0.35">
      <c r="B171">
        <v>7230550</v>
      </c>
      <c r="C171" t="s">
        <v>196</v>
      </c>
      <c r="D171">
        <v>7230550</v>
      </c>
    </row>
    <row r="172" spans="2:4" x14ac:dyDescent="0.35">
      <c r="B172">
        <v>7230555</v>
      </c>
      <c r="C172" t="s">
        <v>196</v>
      </c>
      <c r="D172">
        <v>7230555</v>
      </c>
    </row>
    <row r="173" spans="2:4" x14ac:dyDescent="0.35">
      <c r="B173">
        <v>7230560</v>
      </c>
      <c r="C173" t="s">
        <v>196</v>
      </c>
      <c r="D173">
        <v>7230560</v>
      </c>
    </row>
    <row r="174" spans="2:4" x14ac:dyDescent="0.35">
      <c r="B174">
        <v>7230950</v>
      </c>
      <c r="C174" t="s">
        <v>196</v>
      </c>
      <c r="D174">
        <v>7230950</v>
      </c>
    </row>
    <row r="175" spans="2:4" x14ac:dyDescent="0.35">
      <c r="B175">
        <v>7230960</v>
      </c>
      <c r="C175" t="s">
        <v>196</v>
      </c>
      <c r="D175">
        <v>7230960</v>
      </c>
    </row>
    <row r="176" spans="2:4" x14ac:dyDescent="0.35">
      <c r="B176">
        <v>7270050</v>
      </c>
      <c r="C176" t="s">
        <v>180</v>
      </c>
      <c r="D176">
        <v>7270050</v>
      </c>
    </row>
    <row r="177" spans="2:4" x14ac:dyDescent="0.35">
      <c r="B177">
        <v>7270100</v>
      </c>
      <c r="C177" t="s">
        <v>180</v>
      </c>
      <c r="D177">
        <v>7270100</v>
      </c>
    </row>
    <row r="178" spans="2:4" x14ac:dyDescent="0.35">
      <c r="B178">
        <v>7270150</v>
      </c>
      <c r="C178" t="s">
        <v>180</v>
      </c>
      <c r="D178">
        <v>7270150</v>
      </c>
    </row>
    <row r="179" spans="2:4" x14ac:dyDescent="0.35">
      <c r="B179">
        <v>7270200</v>
      </c>
      <c r="C179" t="s">
        <v>180</v>
      </c>
      <c r="D179">
        <v>7270200</v>
      </c>
    </row>
    <row r="180" spans="2:4" x14ac:dyDescent="0.35">
      <c r="B180">
        <v>7270250</v>
      </c>
      <c r="C180" t="s">
        <v>180</v>
      </c>
      <c r="D180">
        <v>7270250</v>
      </c>
    </row>
    <row r="181" spans="2:4" x14ac:dyDescent="0.35">
      <c r="B181">
        <v>7270300</v>
      </c>
      <c r="C181" t="s">
        <v>180</v>
      </c>
      <c r="D181">
        <v>7270300</v>
      </c>
    </row>
    <row r="182" spans="2:4" x14ac:dyDescent="0.35">
      <c r="B182">
        <v>7270350</v>
      </c>
      <c r="C182" t="s">
        <v>180</v>
      </c>
      <c r="D182">
        <v>7270350</v>
      </c>
    </row>
    <row r="183" spans="2:4" x14ac:dyDescent="0.35">
      <c r="B183">
        <v>7270400</v>
      </c>
      <c r="C183" t="s">
        <v>180</v>
      </c>
      <c r="D183">
        <v>7270400</v>
      </c>
    </row>
    <row r="184" spans="2:4" x14ac:dyDescent="0.35">
      <c r="B184">
        <v>7270450</v>
      </c>
      <c r="C184" t="s">
        <v>180</v>
      </c>
      <c r="D184">
        <v>7270450</v>
      </c>
    </row>
    <row r="185" spans="2:4" x14ac:dyDescent="0.35">
      <c r="B185">
        <v>7270500</v>
      </c>
      <c r="C185" t="s">
        <v>180</v>
      </c>
      <c r="D185">
        <v>7270500</v>
      </c>
    </row>
    <row r="186" spans="2:4" x14ac:dyDescent="0.35">
      <c r="B186">
        <v>7270510</v>
      </c>
      <c r="C186" t="s">
        <v>180</v>
      </c>
      <c r="D186">
        <v>7270510</v>
      </c>
    </row>
    <row r="187" spans="2:4" x14ac:dyDescent="0.35">
      <c r="B187">
        <v>7270550</v>
      </c>
      <c r="C187" t="s">
        <v>180</v>
      </c>
      <c r="D187">
        <v>7270550</v>
      </c>
    </row>
    <row r="188" spans="2:4" x14ac:dyDescent="0.35">
      <c r="B188">
        <v>7270570</v>
      </c>
      <c r="C188" t="s">
        <v>180</v>
      </c>
      <c r="D188">
        <v>7270570</v>
      </c>
    </row>
    <row r="189" spans="2:4" x14ac:dyDescent="0.35">
      <c r="B189">
        <v>7270575</v>
      </c>
      <c r="C189" t="s">
        <v>180</v>
      </c>
      <c r="D189">
        <v>7270575</v>
      </c>
    </row>
    <row r="190" spans="2:4" x14ac:dyDescent="0.35">
      <c r="B190">
        <v>7270580</v>
      </c>
      <c r="C190" t="s">
        <v>180</v>
      </c>
      <c r="D190">
        <v>7270580</v>
      </c>
    </row>
    <row r="191" spans="2:4" x14ac:dyDescent="0.35">
      <c r="B191">
        <v>7270800</v>
      </c>
      <c r="C191" t="s">
        <v>180</v>
      </c>
      <c r="D191">
        <v>7270800</v>
      </c>
    </row>
    <row r="192" spans="2:4" x14ac:dyDescent="0.35">
      <c r="B192">
        <v>7270900</v>
      </c>
      <c r="C192" t="s">
        <v>180</v>
      </c>
      <c r="D192">
        <v>7270900</v>
      </c>
    </row>
    <row r="193" spans="2:4" x14ac:dyDescent="0.35">
      <c r="B193">
        <v>7270960</v>
      </c>
      <c r="C193" t="s">
        <v>180</v>
      </c>
      <c r="D193">
        <v>7270960</v>
      </c>
    </row>
    <row r="194" spans="2:4" x14ac:dyDescent="0.35">
      <c r="B194">
        <v>7260050</v>
      </c>
      <c r="C194" t="s">
        <v>188</v>
      </c>
      <c r="D194">
        <v>7260050</v>
      </c>
    </row>
    <row r="195" spans="2:4" x14ac:dyDescent="0.35">
      <c r="B195">
        <v>7260060</v>
      </c>
      <c r="C195" t="s">
        <v>188</v>
      </c>
      <c r="D195">
        <v>7260060</v>
      </c>
    </row>
    <row r="196" spans="2:4" x14ac:dyDescent="0.35">
      <c r="B196">
        <v>7260070</v>
      </c>
      <c r="C196" t="s">
        <v>188</v>
      </c>
      <c r="D196">
        <v>7260070</v>
      </c>
    </row>
    <row r="197" spans="2:4" x14ac:dyDescent="0.35">
      <c r="B197">
        <v>7260100</v>
      </c>
      <c r="C197" t="s">
        <v>188</v>
      </c>
      <c r="D197">
        <v>7260100</v>
      </c>
    </row>
    <row r="198" spans="2:4" x14ac:dyDescent="0.35">
      <c r="B198">
        <v>7260200</v>
      </c>
      <c r="C198" t="s">
        <v>188</v>
      </c>
      <c r="D198">
        <v>7260200</v>
      </c>
    </row>
    <row r="199" spans="2:4" x14ac:dyDescent="0.35">
      <c r="B199">
        <v>7250050</v>
      </c>
      <c r="C199" t="s">
        <v>192</v>
      </c>
      <c r="D199">
        <v>7250050</v>
      </c>
    </row>
    <row r="200" spans="2:4" x14ac:dyDescent="0.35">
      <c r="B200">
        <v>7250100</v>
      </c>
      <c r="C200" t="s">
        <v>192</v>
      </c>
      <c r="D200">
        <v>7250100</v>
      </c>
    </row>
    <row r="201" spans="2:4" x14ac:dyDescent="0.35">
      <c r="B201">
        <v>7280100</v>
      </c>
      <c r="C201" t="s">
        <v>181</v>
      </c>
      <c r="D201">
        <v>7280100</v>
      </c>
    </row>
    <row r="202" spans="2:4" x14ac:dyDescent="0.35">
      <c r="B202">
        <v>7280900</v>
      </c>
      <c r="C202" t="s">
        <v>181</v>
      </c>
      <c r="D202">
        <v>7280900</v>
      </c>
    </row>
    <row r="203" spans="2:4" x14ac:dyDescent="0.35">
      <c r="B203">
        <v>7290050</v>
      </c>
      <c r="C203" t="s">
        <v>186</v>
      </c>
      <c r="D203">
        <v>7290050</v>
      </c>
    </row>
    <row r="204" spans="2:4" x14ac:dyDescent="0.35">
      <c r="B204">
        <v>7290100</v>
      </c>
      <c r="C204" t="s">
        <v>186</v>
      </c>
      <c r="D204">
        <v>7290100</v>
      </c>
    </row>
    <row r="205" spans="2:4" x14ac:dyDescent="0.35">
      <c r="B205">
        <v>7290150</v>
      </c>
      <c r="C205" t="s">
        <v>186</v>
      </c>
      <c r="D205">
        <v>7290150</v>
      </c>
    </row>
    <row r="206" spans="2:4" x14ac:dyDescent="0.35">
      <c r="B206">
        <v>7290200</v>
      </c>
      <c r="C206" t="s">
        <v>186</v>
      </c>
      <c r="D206">
        <v>7290200</v>
      </c>
    </row>
    <row r="207" spans="2:4" x14ac:dyDescent="0.35">
      <c r="B207">
        <v>7290250</v>
      </c>
      <c r="C207" t="s">
        <v>186</v>
      </c>
      <c r="D207">
        <v>7290250</v>
      </c>
    </row>
    <row r="208" spans="2:4" x14ac:dyDescent="0.35">
      <c r="B208">
        <v>7290300</v>
      </c>
      <c r="C208" t="s">
        <v>186</v>
      </c>
      <c r="D208">
        <v>7290300</v>
      </c>
    </row>
    <row r="209" spans="2:4" x14ac:dyDescent="0.35">
      <c r="B209">
        <v>7290400</v>
      </c>
      <c r="C209" t="s">
        <v>186</v>
      </c>
      <c r="D209">
        <v>7290400</v>
      </c>
    </row>
    <row r="210" spans="2:4" x14ac:dyDescent="0.35">
      <c r="B210">
        <v>7290500</v>
      </c>
      <c r="C210" t="s">
        <v>186</v>
      </c>
      <c r="D210">
        <v>7290500</v>
      </c>
    </row>
    <row r="211" spans="2:4" x14ac:dyDescent="0.35">
      <c r="B211">
        <v>7290550</v>
      </c>
      <c r="C211" t="s">
        <v>186</v>
      </c>
      <c r="D211">
        <v>7290550</v>
      </c>
    </row>
    <row r="212" spans="2:4" x14ac:dyDescent="0.35">
      <c r="B212">
        <v>7290560</v>
      </c>
      <c r="C212" t="s">
        <v>186</v>
      </c>
      <c r="D212">
        <v>7290560</v>
      </c>
    </row>
    <row r="213" spans="2:4" x14ac:dyDescent="0.35">
      <c r="B213">
        <v>7290900</v>
      </c>
      <c r="C213" t="s">
        <v>186</v>
      </c>
      <c r="D213">
        <v>7290900</v>
      </c>
    </row>
    <row r="214" spans="2:4" x14ac:dyDescent="0.35">
      <c r="B214">
        <v>7300050</v>
      </c>
      <c r="C214" t="s">
        <v>187</v>
      </c>
      <c r="D214">
        <v>7300050</v>
      </c>
    </row>
    <row r="215" spans="2:4" x14ac:dyDescent="0.35">
      <c r="B215">
        <v>7300100</v>
      </c>
      <c r="C215" t="s">
        <v>187</v>
      </c>
      <c r="D215">
        <v>7300100</v>
      </c>
    </row>
    <row r="216" spans="2:4" x14ac:dyDescent="0.35">
      <c r="B216">
        <v>7300110</v>
      </c>
      <c r="C216" t="s">
        <v>187</v>
      </c>
      <c r="D216">
        <v>7300110</v>
      </c>
    </row>
    <row r="217" spans="2:4" x14ac:dyDescent="0.35">
      <c r="B217">
        <v>7300120</v>
      </c>
      <c r="C217" t="s">
        <v>187</v>
      </c>
      <c r="D217">
        <v>7300120</v>
      </c>
    </row>
    <row r="218" spans="2:4" x14ac:dyDescent="0.35">
      <c r="B218">
        <v>7300130</v>
      </c>
      <c r="C218" t="s">
        <v>187</v>
      </c>
      <c r="D218">
        <v>7300130</v>
      </c>
    </row>
    <row r="219" spans="2:4" x14ac:dyDescent="0.35">
      <c r="B219">
        <v>7300140</v>
      </c>
      <c r="C219" t="s">
        <v>187</v>
      </c>
      <c r="D219">
        <v>7300140</v>
      </c>
    </row>
    <row r="220" spans="2:4" x14ac:dyDescent="0.35">
      <c r="B220">
        <v>7300150</v>
      </c>
      <c r="C220" t="s">
        <v>187</v>
      </c>
      <c r="D220">
        <v>7300150</v>
      </c>
    </row>
    <row r="221" spans="2:4" x14ac:dyDescent="0.35">
      <c r="B221">
        <v>7300160</v>
      </c>
      <c r="C221" t="s">
        <v>187</v>
      </c>
      <c r="D221">
        <v>7300160</v>
      </c>
    </row>
    <row r="222" spans="2:4" x14ac:dyDescent="0.35">
      <c r="B222">
        <v>7300200</v>
      </c>
      <c r="C222" t="s">
        <v>187</v>
      </c>
      <c r="D222">
        <v>7300200</v>
      </c>
    </row>
    <row r="223" spans="2:4" x14ac:dyDescent="0.35">
      <c r="B223">
        <v>7291100</v>
      </c>
      <c r="C223" t="s">
        <v>184</v>
      </c>
      <c r="D223">
        <v>7291100</v>
      </c>
    </row>
    <row r="224" spans="2:4" x14ac:dyDescent="0.35">
      <c r="B224">
        <v>7291200</v>
      </c>
      <c r="C224" t="s">
        <v>184</v>
      </c>
      <c r="D224">
        <v>7291200</v>
      </c>
    </row>
    <row r="225" spans="2:4" x14ac:dyDescent="0.35">
      <c r="B225">
        <v>7291250</v>
      </c>
      <c r="C225" t="s">
        <v>184</v>
      </c>
      <c r="D225">
        <v>7291250</v>
      </c>
    </row>
    <row r="226" spans="2:4" x14ac:dyDescent="0.35">
      <c r="B226">
        <v>7291300</v>
      </c>
      <c r="C226" t="s">
        <v>184</v>
      </c>
      <c r="D226">
        <v>7291300</v>
      </c>
    </row>
    <row r="227" spans="2:4" x14ac:dyDescent="0.35">
      <c r="B227">
        <v>7291350</v>
      </c>
      <c r="C227" t="s">
        <v>184</v>
      </c>
      <c r="D227">
        <v>7291350</v>
      </c>
    </row>
    <row r="228" spans="2:4" x14ac:dyDescent="0.35">
      <c r="B228">
        <v>7291400</v>
      </c>
      <c r="C228" t="s">
        <v>184</v>
      </c>
      <c r="D228">
        <v>7291400</v>
      </c>
    </row>
    <row r="229" spans="2:4" x14ac:dyDescent="0.35">
      <c r="B229">
        <v>7291900</v>
      </c>
      <c r="C229" t="s">
        <v>184</v>
      </c>
      <c r="D229">
        <v>7291900</v>
      </c>
    </row>
    <row r="230" spans="2:4" x14ac:dyDescent="0.35">
      <c r="B230">
        <v>7292160</v>
      </c>
      <c r="C230" t="s">
        <v>189</v>
      </c>
      <c r="D230">
        <v>7292160</v>
      </c>
    </row>
    <row r="231" spans="2:4" x14ac:dyDescent="0.35">
      <c r="B231">
        <v>7220610</v>
      </c>
      <c r="C231" t="s">
        <v>189</v>
      </c>
      <c r="D231">
        <v>7220610</v>
      </c>
    </row>
    <row r="232" spans="2:4" x14ac:dyDescent="0.35">
      <c r="B232">
        <v>7292130</v>
      </c>
      <c r="C232" t="s">
        <v>189</v>
      </c>
      <c r="D232">
        <v>7292130</v>
      </c>
    </row>
    <row r="233" spans="2:4" x14ac:dyDescent="0.35">
      <c r="B233">
        <v>7292140</v>
      </c>
      <c r="C233" t="s">
        <v>189</v>
      </c>
      <c r="D233">
        <v>7292140</v>
      </c>
    </row>
    <row r="234" spans="2:4" x14ac:dyDescent="0.35">
      <c r="B234">
        <v>7292110</v>
      </c>
      <c r="C234" t="s">
        <v>189</v>
      </c>
      <c r="D234">
        <v>7292110</v>
      </c>
    </row>
    <row r="235" spans="2:4" x14ac:dyDescent="0.35">
      <c r="B235">
        <v>7120580</v>
      </c>
      <c r="C235" t="s">
        <v>189</v>
      </c>
      <c r="D235">
        <v>7120580</v>
      </c>
    </row>
    <row r="236" spans="2:4" x14ac:dyDescent="0.35">
      <c r="B236">
        <v>7292120</v>
      </c>
      <c r="C236" t="s">
        <v>189</v>
      </c>
      <c r="D236">
        <v>7292120</v>
      </c>
    </row>
    <row r="237" spans="2:4" x14ac:dyDescent="0.35">
      <c r="B237">
        <v>7292135</v>
      </c>
      <c r="C237" t="s">
        <v>189</v>
      </c>
      <c r="D237">
        <v>7292135</v>
      </c>
    </row>
    <row r="238" spans="2:4" x14ac:dyDescent="0.35">
      <c r="B238">
        <v>7140190</v>
      </c>
      <c r="C238" t="s">
        <v>189</v>
      </c>
      <c r="D238">
        <v>7140190</v>
      </c>
    </row>
    <row r="239" spans="2:4" x14ac:dyDescent="0.35">
      <c r="B239">
        <v>7292990</v>
      </c>
      <c r="C239" t="s">
        <v>189</v>
      </c>
      <c r="D239">
        <v>7292990</v>
      </c>
    </row>
    <row r="240" spans="2:4" x14ac:dyDescent="0.35">
      <c r="B240">
        <v>7292505</v>
      </c>
      <c r="C240" t="s">
        <v>189</v>
      </c>
      <c r="D240">
        <v>7292505</v>
      </c>
    </row>
    <row r="241" spans="2:4" x14ac:dyDescent="0.35">
      <c r="B241">
        <v>7120590</v>
      </c>
      <c r="C241" t="s">
        <v>189</v>
      </c>
      <c r="D241">
        <v>7120590</v>
      </c>
    </row>
    <row r="242" spans="2:4" x14ac:dyDescent="0.35">
      <c r="B242">
        <v>7130170</v>
      </c>
      <c r="C242" t="s">
        <v>189</v>
      </c>
      <c r="D242">
        <v>7130170</v>
      </c>
    </row>
    <row r="243" spans="2:4" x14ac:dyDescent="0.35">
      <c r="B243">
        <v>7230520</v>
      </c>
      <c r="C243" t="s">
        <v>189</v>
      </c>
      <c r="D243">
        <v>7230520</v>
      </c>
    </row>
    <row r="244" spans="2:4" x14ac:dyDescent="0.35">
      <c r="B244">
        <v>7240300</v>
      </c>
      <c r="C244" t="s">
        <v>189</v>
      </c>
      <c r="D244">
        <v>7240300</v>
      </c>
    </row>
    <row r="245" spans="2:4" x14ac:dyDescent="0.35">
      <c r="B245">
        <v>7230510</v>
      </c>
      <c r="C245" t="s">
        <v>189</v>
      </c>
      <c r="D245">
        <v>7230510</v>
      </c>
    </row>
    <row r="246" spans="2:4" x14ac:dyDescent="0.35">
      <c r="B246">
        <v>7220620</v>
      </c>
      <c r="C246" t="s">
        <v>189</v>
      </c>
      <c r="D246">
        <v>7220620</v>
      </c>
    </row>
    <row r="247" spans="2:4" x14ac:dyDescent="0.35">
      <c r="B247">
        <v>7292520</v>
      </c>
      <c r="C247" t="s">
        <v>189</v>
      </c>
      <c r="D247">
        <v>7292520</v>
      </c>
    </row>
    <row r="248" spans="2:4" x14ac:dyDescent="0.35">
      <c r="B248">
        <v>7292490</v>
      </c>
      <c r="C248" t="s">
        <v>189</v>
      </c>
      <c r="D248">
        <v>7292490</v>
      </c>
    </row>
    <row r="249" spans="2:4" x14ac:dyDescent="0.35">
      <c r="B249">
        <v>7292500</v>
      </c>
      <c r="C249" t="s">
        <v>189</v>
      </c>
      <c r="D249">
        <v>7292500</v>
      </c>
    </row>
    <row r="250" spans="2:4" x14ac:dyDescent="0.35">
      <c r="B250">
        <v>7110620</v>
      </c>
      <c r="C250" t="s">
        <v>189</v>
      </c>
      <c r="D250">
        <v>7110620</v>
      </c>
    </row>
    <row r="251" spans="2:4" x14ac:dyDescent="0.35">
      <c r="B251">
        <v>7140180</v>
      </c>
      <c r="C251" t="s">
        <v>189</v>
      </c>
      <c r="D251">
        <v>7140180</v>
      </c>
    </row>
    <row r="252" spans="2:4" x14ac:dyDescent="0.35">
      <c r="B252">
        <v>7292550</v>
      </c>
      <c r="C252" t="s">
        <v>189</v>
      </c>
      <c r="D252">
        <v>7292550</v>
      </c>
    </row>
    <row r="253" spans="2:4" x14ac:dyDescent="0.35">
      <c r="B253">
        <v>7292100</v>
      </c>
      <c r="C253" t="s">
        <v>189</v>
      </c>
      <c r="D253">
        <v>7292100</v>
      </c>
    </row>
    <row r="254" spans="2:4" x14ac:dyDescent="0.35">
      <c r="B254">
        <v>7292510</v>
      </c>
      <c r="C254" t="s">
        <v>189</v>
      </c>
      <c r="D254">
        <v>7292510</v>
      </c>
    </row>
    <row r="255" spans="2:4" x14ac:dyDescent="0.35">
      <c r="B255">
        <v>7130180</v>
      </c>
      <c r="C255" t="s">
        <v>189</v>
      </c>
      <c r="D255">
        <v>7130180</v>
      </c>
    </row>
    <row r="256" spans="2:4" x14ac:dyDescent="0.35">
      <c r="B256">
        <v>7292530</v>
      </c>
      <c r="C256" t="s">
        <v>189</v>
      </c>
      <c r="D256">
        <v>7292530</v>
      </c>
    </row>
    <row r="257" spans="2:4" x14ac:dyDescent="0.35">
      <c r="B257">
        <v>7110630</v>
      </c>
      <c r="C257" t="s">
        <v>189</v>
      </c>
      <c r="D257">
        <v>7110630</v>
      </c>
    </row>
    <row r="258" spans="2:4" x14ac:dyDescent="0.35">
      <c r="B258">
        <v>7292540</v>
      </c>
      <c r="C258" t="s">
        <v>189</v>
      </c>
      <c r="D258">
        <v>7292540</v>
      </c>
    </row>
    <row r="259" spans="2:4" x14ac:dyDescent="0.35">
      <c r="B259">
        <v>7292560</v>
      </c>
      <c r="C259" t="s">
        <v>189</v>
      </c>
      <c r="D259">
        <v>7292560</v>
      </c>
    </row>
    <row r="260" spans="2:4" x14ac:dyDescent="0.35">
      <c r="B260">
        <v>7292150</v>
      </c>
      <c r="C260" t="s">
        <v>189</v>
      </c>
      <c r="D260">
        <v>7292150</v>
      </c>
    </row>
    <row r="261" spans="2:4" x14ac:dyDescent="0.35">
      <c r="B261">
        <v>7240050</v>
      </c>
      <c r="C261" t="s">
        <v>194</v>
      </c>
      <c r="D261">
        <v>7240050</v>
      </c>
    </row>
    <row r="262" spans="2:4" x14ac:dyDescent="0.35">
      <c r="B262">
        <v>7240100</v>
      </c>
      <c r="C262" t="s">
        <v>194</v>
      </c>
      <c r="D262">
        <v>7240100</v>
      </c>
    </row>
    <row r="263" spans="2:4" x14ac:dyDescent="0.35">
      <c r="B263">
        <v>7240150</v>
      </c>
      <c r="C263" t="s">
        <v>194</v>
      </c>
      <c r="D263">
        <v>7240150</v>
      </c>
    </row>
    <row r="264" spans="2:4" x14ac:dyDescent="0.35">
      <c r="B264">
        <v>7240200</v>
      </c>
      <c r="C264" t="s">
        <v>194</v>
      </c>
      <c r="D264">
        <v>7240200</v>
      </c>
    </row>
    <row r="265" spans="2:4" x14ac:dyDescent="0.35">
      <c r="B265">
        <v>7240250</v>
      </c>
      <c r="C265" t="s">
        <v>194</v>
      </c>
      <c r="D265">
        <v>7240250</v>
      </c>
    </row>
    <row r="266" spans="2:4" x14ac:dyDescent="0.35">
      <c r="B266">
        <v>7240300</v>
      </c>
      <c r="C266" t="s">
        <v>194</v>
      </c>
      <c r="D266">
        <v>7240300</v>
      </c>
    </row>
    <row r="267" spans="2:4" x14ac:dyDescent="0.35">
      <c r="B267">
        <v>7240960</v>
      </c>
      <c r="C267" t="s">
        <v>194</v>
      </c>
      <c r="D267">
        <v>7240960</v>
      </c>
    </row>
    <row r="268" spans="2:4" x14ac:dyDescent="0.35">
      <c r="B268">
        <v>7299010</v>
      </c>
      <c r="C268" t="s">
        <v>353</v>
      </c>
      <c r="D268">
        <v>7299010</v>
      </c>
    </row>
    <row r="269" spans="2:4" x14ac:dyDescent="0.35">
      <c r="B269">
        <v>7299030</v>
      </c>
      <c r="C269" t="s">
        <v>353</v>
      </c>
      <c r="D269">
        <v>7299030</v>
      </c>
    </row>
    <row r="270" spans="2:4" x14ac:dyDescent="0.35">
      <c r="B270">
        <v>7299040</v>
      </c>
      <c r="C270" t="s">
        <v>353</v>
      </c>
      <c r="D270">
        <v>7299040</v>
      </c>
    </row>
    <row r="271" spans="2:4" x14ac:dyDescent="0.35">
      <c r="B271">
        <v>7299050</v>
      </c>
      <c r="C271" t="s">
        <v>353</v>
      </c>
      <c r="D271">
        <v>7299050</v>
      </c>
    </row>
    <row r="272" spans="2:4" x14ac:dyDescent="0.35">
      <c r="B272">
        <v>7299070</v>
      </c>
      <c r="C272" t="s">
        <v>353</v>
      </c>
      <c r="D272">
        <v>7299070</v>
      </c>
    </row>
    <row r="273" spans="2:4" x14ac:dyDescent="0.35">
      <c r="B273">
        <v>7299080</v>
      </c>
      <c r="C273" t="s">
        <v>353</v>
      </c>
      <c r="D273">
        <v>7299080</v>
      </c>
    </row>
    <row r="274" spans="2:4" x14ac:dyDescent="0.35">
      <c r="B274">
        <v>7299100</v>
      </c>
      <c r="C274" t="s">
        <v>353</v>
      </c>
      <c r="D274">
        <v>7299100</v>
      </c>
    </row>
    <row r="275" spans="2:4" x14ac:dyDescent="0.35">
      <c r="B275">
        <v>7299210</v>
      </c>
      <c r="C275" t="s">
        <v>353</v>
      </c>
      <c r="D275">
        <v>7299210</v>
      </c>
    </row>
    <row r="276" spans="2:4" x14ac:dyDescent="0.35">
      <c r="B276">
        <v>7299230</v>
      </c>
      <c r="C276" t="s">
        <v>353</v>
      </c>
      <c r="D276">
        <v>7299230</v>
      </c>
    </row>
    <row r="277" spans="2:4" x14ac:dyDescent="0.35">
      <c r="B277">
        <v>7299250</v>
      </c>
      <c r="C277" t="s">
        <v>353</v>
      </c>
      <c r="D277">
        <v>7299250</v>
      </c>
    </row>
    <row r="278" spans="2:4" x14ac:dyDescent="0.35">
      <c r="B278">
        <v>7299260</v>
      </c>
      <c r="C278" t="s">
        <v>353</v>
      </c>
      <c r="D278">
        <v>7299260</v>
      </c>
    </row>
    <row r="279" spans="2:4" x14ac:dyDescent="0.35">
      <c r="B279">
        <v>7299270</v>
      </c>
      <c r="C279" t="s">
        <v>353</v>
      </c>
      <c r="D279">
        <v>7299270</v>
      </c>
    </row>
    <row r="280" spans="2:4" x14ac:dyDescent="0.35">
      <c r="B280">
        <v>7299273</v>
      </c>
      <c r="C280" t="s">
        <v>353</v>
      </c>
      <c r="D280">
        <v>7299273</v>
      </c>
    </row>
    <row r="281" spans="2:4" x14ac:dyDescent="0.35">
      <c r="B281">
        <v>7299300</v>
      </c>
      <c r="C281" t="s">
        <v>353</v>
      </c>
      <c r="D281">
        <v>7299300</v>
      </c>
    </row>
    <row r="282" spans="2:4" x14ac:dyDescent="0.35">
      <c r="B282">
        <v>7299400</v>
      </c>
      <c r="C282" t="s">
        <v>353</v>
      </c>
      <c r="D282">
        <v>7299400</v>
      </c>
    </row>
    <row r="283" spans="2:4" x14ac:dyDescent="0.35">
      <c r="B283">
        <v>7299520</v>
      </c>
      <c r="C283" t="s">
        <v>353</v>
      </c>
      <c r="D283">
        <v>7299520</v>
      </c>
    </row>
    <row r="284" spans="2:4" x14ac:dyDescent="0.35">
      <c r="B284">
        <v>7299530</v>
      </c>
      <c r="C284" t="s">
        <v>353</v>
      </c>
      <c r="D284">
        <v>7299530</v>
      </c>
    </row>
    <row r="285" spans="2:4" x14ac:dyDescent="0.35">
      <c r="B285">
        <v>7299800</v>
      </c>
      <c r="C285" t="s">
        <v>353</v>
      </c>
      <c r="D285">
        <v>7299800</v>
      </c>
    </row>
    <row r="286" spans="2:4" x14ac:dyDescent="0.35">
      <c r="B286">
        <v>7299900</v>
      </c>
      <c r="C286" t="s">
        <v>353</v>
      </c>
      <c r="D286">
        <v>7299900</v>
      </c>
    </row>
    <row r="287" spans="2:4" x14ac:dyDescent="0.35">
      <c r="B287">
        <v>7299950</v>
      </c>
      <c r="C287" t="s">
        <v>353</v>
      </c>
      <c r="D287">
        <v>7299950</v>
      </c>
    </row>
    <row r="288" spans="2:4" x14ac:dyDescent="0.35">
      <c r="B288" s="33" t="s">
        <v>132</v>
      </c>
      <c r="C288" t="s">
        <v>353</v>
      </c>
      <c r="D288" t="s">
        <v>132</v>
      </c>
    </row>
    <row r="289" spans="2:4" x14ac:dyDescent="0.35">
      <c r="B289" s="33" t="s">
        <v>134</v>
      </c>
      <c r="C289" t="s">
        <v>353</v>
      </c>
      <c r="D289" t="s">
        <v>134</v>
      </c>
    </row>
    <row r="290" spans="2:4" x14ac:dyDescent="0.35">
      <c r="B290" s="33" t="s">
        <v>142</v>
      </c>
      <c r="C290" t="s">
        <v>353</v>
      </c>
      <c r="D290" t="s">
        <v>142</v>
      </c>
    </row>
    <row r="291" spans="2:4" x14ac:dyDescent="0.35">
      <c r="B291" s="33" t="s">
        <v>130</v>
      </c>
      <c r="C291" t="s">
        <v>353</v>
      </c>
      <c r="D291" t="s">
        <v>130</v>
      </c>
    </row>
    <row r="292" spans="2:4" x14ac:dyDescent="0.35">
      <c r="B292" s="33" t="s">
        <v>136</v>
      </c>
      <c r="C292" t="s">
        <v>353</v>
      </c>
      <c r="D292" t="s">
        <v>136</v>
      </c>
    </row>
    <row r="293" spans="2:4" x14ac:dyDescent="0.35">
      <c r="B293" s="33" t="s">
        <v>138</v>
      </c>
      <c r="C293" t="s">
        <v>353</v>
      </c>
      <c r="D293" t="s">
        <v>138</v>
      </c>
    </row>
    <row r="294" spans="2:4" x14ac:dyDescent="0.35">
      <c r="B294" s="33" t="s">
        <v>140</v>
      </c>
      <c r="C294" t="s">
        <v>353</v>
      </c>
      <c r="D294" t="s">
        <v>140</v>
      </c>
    </row>
    <row r="295" spans="2:4" x14ac:dyDescent="0.35">
      <c r="B295">
        <v>7293100</v>
      </c>
      <c r="C295" t="s">
        <v>358</v>
      </c>
      <c r="D295">
        <v>7293100</v>
      </c>
    </row>
    <row r="296" spans="2:4" x14ac:dyDescent="0.35">
      <c r="B296" t="s">
        <v>359</v>
      </c>
      <c r="C296" t="s">
        <v>353</v>
      </c>
      <c r="D296" t="s">
        <v>359</v>
      </c>
    </row>
    <row r="297" spans="2:4" x14ac:dyDescent="0.35">
      <c r="B297">
        <v>7230055</v>
      </c>
      <c r="C297" t="s">
        <v>196</v>
      </c>
      <c r="D297">
        <v>7230055</v>
      </c>
    </row>
    <row r="298" spans="2:4" x14ac:dyDescent="0.35">
      <c r="B298">
        <v>7299020</v>
      </c>
      <c r="C298" t="s">
        <v>353</v>
      </c>
      <c r="D298">
        <v>7299020</v>
      </c>
    </row>
    <row r="299" spans="2:4" x14ac:dyDescent="0.35">
      <c r="B299">
        <v>7299271</v>
      </c>
      <c r="C299" t="s">
        <v>353</v>
      </c>
      <c r="D299">
        <v>7299271</v>
      </c>
    </row>
    <row r="300" spans="2:4" x14ac:dyDescent="0.35">
      <c r="B300">
        <v>7299272</v>
      </c>
      <c r="C300" t="s">
        <v>353</v>
      </c>
      <c r="D300">
        <v>7299272</v>
      </c>
    </row>
    <row r="301" spans="2:4" x14ac:dyDescent="0.35">
      <c r="B301">
        <v>7299700</v>
      </c>
      <c r="C301" t="s">
        <v>353</v>
      </c>
      <c r="D301">
        <v>7299700</v>
      </c>
    </row>
    <row r="302" spans="2:4" x14ac:dyDescent="0.35">
      <c r="B302">
        <v>7299500</v>
      </c>
      <c r="C302" t="s">
        <v>353</v>
      </c>
      <c r="D302">
        <v>7299500</v>
      </c>
    </row>
    <row r="303" spans="2:4" x14ac:dyDescent="0.35">
      <c r="B303">
        <v>7299240</v>
      </c>
      <c r="C303" t="s">
        <v>353</v>
      </c>
      <c r="D303">
        <v>7299240</v>
      </c>
    </row>
    <row r="304" spans="2:4" x14ac:dyDescent="0.35">
      <c r="B304">
        <v>7299090</v>
      </c>
      <c r="C304" t="s">
        <v>353</v>
      </c>
      <c r="D304">
        <v>7299090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Sheet5</vt:lpstr>
      <vt:lpstr>Sheet3</vt:lpstr>
      <vt:lpstr>Sheet1</vt:lpstr>
      <vt:lpstr>Sheet4</vt:lpstr>
    </vt:vector>
  </TitlesOfParts>
  <Company>Mettler Toledo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Panthy Dipankar MT-GBSI</dc:creator>
  <cp:lastModifiedBy>Singh Jayesh MT-GBSI</cp:lastModifiedBy>
  <dcterms:created xsi:type="dcterms:W3CDTF">2025-06-18T07:52:46Z</dcterms:created>
  <dcterms:modified xsi:type="dcterms:W3CDTF">2025-11-08T08:41:05Z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2025-06-20T09:27:14Z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2004333d-6188-4c44-813b-40558efa8126</vt:lpwstr>
  </property>
  <property fmtid="{D5CDD505-2E9C-101B-9397-08002B2CF9AE}" pid="8" name="MSIP_Label_af615ef3-aa90-4fa2-9d66-c4f70f9fc413_ContentBits">
    <vt:lpwstr>0</vt:lpwstr>
  </property>
  <property fmtid="{D5CDD505-2E9C-101B-9397-08002B2CF9AE}" pid="9" name="CustomUiType">
    <vt:lpwstr>2</vt:lpwstr>
  </property>
</Properties>
</file>